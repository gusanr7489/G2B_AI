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NINESoft\2026년 사업\9. 전북대학교 산학협력 문제 제안서\260331. IT컨설팅 제안자료 공유\2. ISP 사업\ISP 샘플2\2. 제안 목차\"/>
    </mc:Choice>
  </mc:AlternateContent>
  <xr:revisionPtr revIDLastSave="0" documentId="13_ncr:1_{2CC16526-164B-45B5-B59B-60342B2216C8}" xr6:coauthVersionLast="47" xr6:coauthVersionMax="47" xr10:uidLastSave="{00000000-0000-0000-0000-000000000000}"/>
  <bookViews>
    <workbookView xWindow="-28920" yWindow="-60" windowWidth="29040" windowHeight="15720" activeTab="2" xr2:uid="{00000000-000D-0000-FFFF-FFFF00000000}"/>
  </bookViews>
  <sheets>
    <sheet name="Main" sheetId="5" r:id="rId1"/>
    <sheet name="제안일정" sheetId="4" r:id="rId2"/>
    <sheet name="제안 목차" sheetId="1" r:id="rId3"/>
    <sheet name="RFP 요구사항" sheetId="3" r:id="rId4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155B3E89_0DF2_4BF5_B210_69C6E8FC64E8_.wvu.FilterData" localSheetId="2" hidden="1">'제안 목차'!$A$3:$Z$135</definedName>
  </definedNames>
  <calcPr calcId="191029"/>
  <customWorkbookViews>
    <customWorkbookView name="필터 1" guid="{155B3E89-0DF2-4BF5-B210-69C6E8FC64E8}" maximized="1" windowWidth="0" windowHeight="0" activeSheetId="0"/>
  </customWorkbookViews>
</workbook>
</file>

<file path=xl/calcChain.xml><?xml version="1.0" encoding="utf-8"?>
<calcChain xmlns="http://schemas.openxmlformats.org/spreadsheetml/2006/main">
  <c r="H16" i="1" l="1"/>
  <c r="A1" i="1"/>
  <c r="B2" i="4"/>
  <c r="C5" i="4"/>
  <c r="D5" i="4" s="1"/>
  <c r="E5" i="4" s="1"/>
  <c r="F5" i="4" s="1"/>
  <c r="G5" i="4" s="1"/>
  <c r="H5" i="4" s="1"/>
  <c r="B8" i="4" s="1"/>
  <c r="C8" i="4" s="1"/>
  <c r="D8" i="4" s="1"/>
  <c r="E8" i="4" s="1"/>
  <c r="F8" i="4" s="1"/>
  <c r="G8" i="4" s="1"/>
  <c r="H8" i="4" s="1"/>
  <c r="B11" i="4" s="1"/>
  <c r="C11" i="4" s="1"/>
  <c r="D11" i="4" s="1"/>
  <c r="E11" i="4" s="1"/>
  <c r="F11" i="4" s="1"/>
  <c r="G11" i="4" s="1"/>
  <c r="H11" i="4" s="1"/>
  <c r="B14" i="4" s="1"/>
  <c r="C14" i="4" s="1"/>
  <c r="D14" i="4" s="1"/>
  <c r="E14" i="4" s="1"/>
  <c r="F14" i="4" s="1"/>
  <c r="G14" i="4" s="1"/>
  <c r="H14" i="4" s="1"/>
  <c r="B17" i="4" s="1"/>
  <c r="C17" i="4" s="1"/>
  <c r="D17" i="4" s="1"/>
  <c r="E17" i="4" s="1"/>
  <c r="F17" i="4" s="1"/>
  <c r="G17" i="4" s="1"/>
  <c r="H17" i="4" s="1"/>
  <c r="C4" i="4"/>
  <c r="D4" i="4" s="1"/>
  <c r="E4" i="4" s="1"/>
  <c r="F4" i="4" s="1"/>
  <c r="G4" i="4" s="1"/>
  <c r="H4" i="4" s="1"/>
  <c r="B7" i="4" s="1"/>
  <c r="C7" i="4" s="1"/>
  <c r="D7" i="4" s="1"/>
  <c r="E7" i="4" s="1"/>
  <c r="F7" i="4" s="1"/>
  <c r="G7" i="4" s="1"/>
  <c r="H7" i="4" s="1"/>
  <c r="B10" i="4" s="1"/>
  <c r="C10" i="4" s="1"/>
  <c r="D10" i="4" s="1"/>
  <c r="E10" i="4" s="1"/>
  <c r="F10" i="4" s="1"/>
  <c r="G10" i="4" s="1"/>
  <c r="H10" i="4" s="1"/>
  <c r="B13" i="4" s="1"/>
  <c r="C13" i="4" s="1"/>
  <c r="D13" i="4" s="1"/>
  <c r="E13" i="4" s="1"/>
  <c r="F13" i="4" s="1"/>
  <c r="G13" i="4" s="1"/>
  <c r="H13" i="4" s="1"/>
  <c r="B16" i="4" s="1"/>
  <c r="C16" i="4" s="1"/>
  <c r="D16" i="4" s="1"/>
  <c r="E16" i="4" s="1"/>
  <c r="F16" i="4" s="1"/>
  <c r="G16" i="4" s="1"/>
  <c r="H16" i="4" s="1"/>
  <c r="H130" i="1" l="1"/>
  <c r="H103" i="1"/>
  <c r="H88" i="1"/>
  <c r="H78" i="1"/>
  <c r="H52" i="1"/>
  <c r="H5" i="1"/>
  <c r="H2" i="1" l="1"/>
</calcChain>
</file>

<file path=xl/sharedStrings.xml><?xml version="1.0" encoding="utf-8"?>
<sst xmlns="http://schemas.openxmlformats.org/spreadsheetml/2006/main" count="554" uniqueCount="427">
  <si>
    <t>평가항목 배점
(제안요약서/발표자료에 필수)</t>
  </si>
  <si>
    <t>관련
제안요청 ID</t>
  </si>
  <si>
    <t>담당자</t>
  </si>
  <si>
    <t>페이지수</t>
  </si>
  <si>
    <t>완료여부</t>
  </si>
  <si>
    <t>비고</t>
  </si>
  <si>
    <t>Level 1</t>
  </si>
  <si>
    <t>Level 2</t>
  </si>
  <si>
    <t>Level 3</t>
  </si>
  <si>
    <t>1. 사업 이해도</t>
  </si>
  <si>
    <t>2.2 추진전략</t>
  </si>
  <si>
    <t>3.1 제안사 표준 ISP 방법론 적용</t>
  </si>
  <si>
    <t>3.2 방법론 최적화 방안</t>
  </si>
  <si>
    <t>3.3 ISP 컨설팅 방법론 구성</t>
  </si>
  <si>
    <t>3.4 ISP 건설팅 추진절차</t>
  </si>
  <si>
    <t>프로젝트 착수 단계</t>
  </si>
  <si>
    <t>환경분석 단계</t>
  </si>
  <si>
    <t>현황분석 단계</t>
  </si>
  <si>
    <t>목표모델 설계 단계</t>
  </si>
  <si>
    <t>이행계획 수립 단계</t>
  </si>
  <si>
    <t xml:space="preserve"> </t>
  </si>
  <si>
    <t>1.1 환경분석 수행 방안</t>
  </si>
  <si>
    <t>1.1.1 환경분석 개요</t>
  </si>
  <si>
    <t>1.1.2 대내외 환경분석</t>
  </si>
  <si>
    <t>1.1.3 법제도 분석</t>
  </si>
  <si>
    <t>1.1.4 정보기술(IT) 환경분석</t>
  </si>
  <si>
    <t>1.2 현황분석 수행 방안</t>
  </si>
  <si>
    <t>1.2.1 현황분석 개요</t>
  </si>
  <si>
    <t>1.2.2 업무현황분석</t>
  </si>
  <si>
    <t>1.2.3 정보기술 현황분석</t>
  </si>
  <si>
    <t>1.3.4 요구사항 분석</t>
  </si>
  <si>
    <t>1.3.4 선진사례 분석</t>
  </si>
  <si>
    <t>1.3.5 이슈 및 개선과제 도출</t>
  </si>
  <si>
    <t>1.3.1 목표모델 수립 개요</t>
  </si>
  <si>
    <t>1.3.2 정보화 비전 및 전략 수립</t>
  </si>
  <si>
    <t>1.3.3 업무프로세스 설계</t>
  </si>
  <si>
    <t>1.3.4 응용 아키텍처 설계</t>
  </si>
  <si>
    <t>1.4.1 이행계획 수립 개요</t>
  </si>
  <si>
    <t>1.4.2 이행과제 정의 및 로드맵 수립</t>
  </si>
  <si>
    <t>1.4.3 소요자원 산정 및 기대효과 분석</t>
  </si>
  <si>
    <t>1.4.4 경제적 타당성 분석</t>
  </si>
  <si>
    <t>1.4.5 사업계획서 및 제안요청서 작성</t>
  </si>
  <si>
    <t>SER-001</t>
  </si>
  <si>
    <t>SER-002</t>
  </si>
  <si>
    <t>COR-002</t>
  </si>
  <si>
    <t>COR-003</t>
  </si>
  <si>
    <t>COR-004</t>
  </si>
  <si>
    <t>QUR-001</t>
  </si>
  <si>
    <t>QUR-002</t>
  </si>
  <si>
    <t>1. 관리방법론</t>
  </si>
  <si>
    <t>1.1 개요</t>
  </si>
  <si>
    <t>1.2 범위관리</t>
  </si>
  <si>
    <t xml:space="preserve">1.3 진도관리 </t>
  </si>
  <si>
    <t>1.4 자원관리</t>
  </si>
  <si>
    <t>1.5 문서관리</t>
  </si>
  <si>
    <t>1.6 위험 및 이슈관리</t>
  </si>
  <si>
    <t>PMR-010</t>
  </si>
  <si>
    <t>1.7 의사소통 관리</t>
  </si>
  <si>
    <t>PMR-008</t>
  </si>
  <si>
    <t>1.8 형상관리</t>
  </si>
  <si>
    <t>1.9 보안관리</t>
  </si>
  <si>
    <t>1.10 보고관리</t>
  </si>
  <si>
    <t xml:space="preserve">1.11 산출물 관리 </t>
  </si>
  <si>
    <t>2.1 일정계획 수립 방안</t>
  </si>
  <si>
    <t>2.2 세부 일정계획</t>
  </si>
  <si>
    <t>PMR-005</t>
  </si>
  <si>
    <t>PMR-002</t>
  </si>
  <si>
    <t>PMR-004</t>
  </si>
  <si>
    <t>Ⅵ. 프로젝트 지원</t>
  </si>
  <si>
    <t>1.1 품질보증 전략</t>
  </si>
  <si>
    <t>PSR-001</t>
  </si>
  <si>
    <t>1.2 품질보증 조직</t>
  </si>
  <si>
    <t>1.3 품질보증 절차</t>
  </si>
  <si>
    <t>1.4 품질보증 수행방안</t>
  </si>
  <si>
    <t>1.5 품질보증 관련 인증</t>
  </si>
  <si>
    <t>PSR-002</t>
  </si>
  <si>
    <t>PSR-003</t>
  </si>
  <si>
    <t>Ⅶ. 기타</t>
  </si>
  <si>
    <t>PMR-001</t>
  </si>
  <si>
    <t>요구사항 목록</t>
    <phoneticPr fontId="10" type="noConversion"/>
  </si>
  <si>
    <t>분류</t>
  </si>
  <si>
    <t>CODE</t>
  </si>
  <si>
    <t>요구사항 명칭</t>
  </si>
  <si>
    <t>정의</t>
    <phoneticPr fontId="10" type="noConversion"/>
  </si>
  <si>
    <t>요구사항 상세설명</t>
    <phoneticPr fontId="10" type="noConversion"/>
  </si>
  <si>
    <t>산출정보</t>
    <phoneticPr fontId="10" type="noConversion"/>
  </si>
  <si>
    <t>비고</t>
    <phoneticPr fontId="10" type="noConversion"/>
  </si>
  <si>
    <t>제약사항
(COR)</t>
    <phoneticPr fontId="10" type="noConversion"/>
  </si>
  <si>
    <t>COR-001</t>
    <phoneticPr fontId="10" type="noConversion"/>
  </si>
  <si>
    <t>프로젝트 관리 요구사항
(PMR)</t>
    <phoneticPr fontId="10" type="noConversion"/>
  </si>
  <si>
    <t>PMR-003</t>
  </si>
  <si>
    <t>인력교체</t>
    <phoneticPr fontId="10" type="noConversion"/>
  </si>
  <si>
    <t>사업수행계획서</t>
    <phoneticPr fontId="10" type="noConversion"/>
  </si>
  <si>
    <t>PMR-006</t>
  </si>
  <si>
    <t>PMR-007</t>
  </si>
  <si>
    <t>PMR-009</t>
    <phoneticPr fontId="10" type="noConversion"/>
  </si>
  <si>
    <t>PMR-011</t>
  </si>
  <si>
    <t>PMR-012</t>
  </si>
  <si>
    <t>프로젝트 지원 요구사항
(PSR)</t>
    <phoneticPr fontId="10" type="noConversion"/>
  </si>
  <si>
    <t>제  안  일  정</t>
    <phoneticPr fontId="21" type="noConversion"/>
  </si>
  <si>
    <t>일요일</t>
    <phoneticPr fontId="21" type="noConversion"/>
  </si>
  <si>
    <t>월요일</t>
    <phoneticPr fontId="21" type="noConversion"/>
  </si>
  <si>
    <t>화요일</t>
    <phoneticPr fontId="21" type="noConversion"/>
  </si>
  <si>
    <t>수요일</t>
    <phoneticPr fontId="21" type="noConversion"/>
  </si>
  <si>
    <t>목요일</t>
    <phoneticPr fontId="21" type="noConversion"/>
  </si>
  <si>
    <t>금요일</t>
    <phoneticPr fontId="21" type="noConversion"/>
  </si>
  <si>
    <t>토요일</t>
    <phoneticPr fontId="21" type="noConversion"/>
  </si>
  <si>
    <t>* 제안서 최종 확인
* 발표자료 최종 확인
* 입찰서류 최종 확인</t>
    <phoneticPr fontId="10" type="noConversion"/>
  </si>
  <si>
    <t>사업명</t>
    <phoneticPr fontId="28" type="noConversion"/>
  </si>
  <si>
    <t>고객명</t>
    <phoneticPr fontId="28" type="noConversion"/>
  </si>
  <si>
    <t>사업기간</t>
    <phoneticPr fontId="28" type="noConversion"/>
  </si>
  <si>
    <t>용역금액</t>
    <phoneticPr fontId="28" type="noConversion"/>
  </si>
  <si>
    <t>제출일</t>
    <phoneticPr fontId="28" type="noConversion"/>
  </si>
  <si>
    <t>제출장소</t>
    <phoneticPr fontId="28" type="noConversion"/>
  </si>
  <si>
    <t>이슈 및 공지</t>
    <phoneticPr fontId="28" type="noConversion"/>
  </si>
  <si>
    <t>no.</t>
    <phoneticPr fontId="28" type="noConversion"/>
  </si>
  <si>
    <t>date</t>
    <phoneticPr fontId="28" type="noConversion"/>
  </si>
  <si>
    <t>name</t>
    <phoneticPr fontId="28" type="noConversion"/>
  </si>
  <si>
    <t>message</t>
    <phoneticPr fontId="28" type="noConversion"/>
  </si>
  <si>
    <t>이상은</t>
    <phoneticPr fontId="10" type="noConversion"/>
  </si>
  <si>
    <t>Ⅴ. 프로젝트 관리</t>
    <phoneticPr fontId="10" type="noConversion"/>
  </si>
  <si>
    <r>
      <t>1.3.7 정보화 운영</t>
    </r>
    <r>
      <rPr>
        <sz val="9"/>
        <color theme="1"/>
        <rFont val="맑은 고딕"/>
        <family val="3"/>
        <charset val="129"/>
      </rPr>
      <t>·관리체계 구축</t>
    </r>
    <phoneticPr fontId="10" type="noConversion"/>
  </si>
  <si>
    <t>1.3.6 정보시스템 구조 설계</t>
    <phoneticPr fontId="10" type="noConversion"/>
  </si>
  <si>
    <t>1.3.5 데이터 구조 설계</t>
    <phoneticPr fontId="10" type="noConversion"/>
  </si>
  <si>
    <t>이남수</t>
    <phoneticPr fontId="10" type="noConversion"/>
  </si>
  <si>
    <t>온라인 제출 : 정량/정성 제안서, 제안요약서, 발표자료, 입찰서류</t>
    <phoneticPr fontId="28" type="noConversion"/>
  </si>
  <si>
    <t>3.5 산출물의 종류 및 내역</t>
    <phoneticPr fontId="10" type="noConversion"/>
  </si>
  <si>
    <t>1.3 목표모델 설계 방안</t>
    <phoneticPr fontId="10" type="noConversion"/>
  </si>
  <si>
    <t>1.4 통합 이행계획 수립 방안</t>
    <phoneticPr fontId="10" type="noConversion"/>
  </si>
  <si>
    <t>디지털식품클러스터 구축 정보화전략계획(ISP) 수립</t>
    <phoneticPr fontId="28" type="noConversion"/>
  </si>
  <si>
    <t>한국식품산업클러스터진흥원</t>
    <phoneticPr fontId="28" type="noConversion"/>
  </si>
  <si>
    <t>6개월</t>
    <phoneticPr fontId="28" type="noConversion"/>
  </si>
  <si>
    <t>430,000,000원(부가가치세, 조달수수료 포함)</t>
    <phoneticPr fontId="28" type="noConversion"/>
  </si>
  <si>
    <t>6월 20일</t>
    <phoneticPr fontId="28" type="noConversion"/>
  </si>
  <si>
    <t>이유진</t>
    <phoneticPr fontId="10" type="noConversion"/>
  </si>
  <si>
    <t>김미숙</t>
    <phoneticPr fontId="10" type="noConversion"/>
  </si>
  <si>
    <t>CSR-001</t>
    <phoneticPr fontId="10" type="noConversion"/>
  </si>
  <si>
    <t>CSR-002</t>
  </si>
  <si>
    <t>CSR-003</t>
  </si>
  <si>
    <t>CSR-004</t>
  </si>
  <si>
    <t>CSR-005</t>
  </si>
  <si>
    <t>CSR-006</t>
  </si>
  <si>
    <t>CSR-007</t>
  </si>
  <si>
    <t>CSR-008</t>
  </si>
  <si>
    <t>CSR-009</t>
  </si>
  <si>
    <t>CSR-010</t>
  </si>
  <si>
    <t>CSR-011</t>
  </si>
  <si>
    <t>CSR-012</t>
  </si>
  <si>
    <t>CSR-013</t>
  </si>
  <si>
    <t>CSR-014</t>
  </si>
  <si>
    <t>CSR-015</t>
  </si>
  <si>
    <r>
      <t>(</t>
    </r>
    <r>
      <rPr>
        <sz val="9"/>
        <color rgb="FF000000"/>
        <rFont val="돋움"/>
        <family val="3"/>
        <charset val="129"/>
      </rPr>
      <t>환경분석</t>
    </r>
    <r>
      <rPr>
        <sz val="9"/>
        <color rgb="FF000000"/>
        <rFont val="Calibri"/>
        <family val="3"/>
        <charset val="129"/>
        <scheme val="minor"/>
      </rPr>
      <t xml:space="preserve">) </t>
    </r>
    <r>
      <rPr>
        <sz val="9"/>
        <color rgb="FF000000"/>
        <rFont val="돋움"/>
        <family val="3"/>
        <charset val="129"/>
      </rPr>
      <t>내</t>
    </r>
    <r>
      <rPr>
        <sz val="9"/>
        <color rgb="FF000000"/>
        <rFont val="Calibri"/>
        <family val="3"/>
        <charset val="129"/>
        <scheme val="minor"/>
      </rPr>
      <t>·</t>
    </r>
    <r>
      <rPr>
        <sz val="9"/>
        <color rgb="FF000000"/>
        <rFont val="돋움"/>
        <family val="3"/>
        <charset val="129"/>
      </rPr>
      <t>외부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환경분석</t>
    </r>
    <phoneticPr fontId="10" type="noConversion"/>
  </si>
  <si>
    <r>
      <rPr>
        <sz val="9"/>
        <color rgb="FF000000"/>
        <rFont val="맑은 고딕"/>
        <family val="3"/>
        <charset val="129"/>
      </rPr>
      <t>정보화사업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추진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내</t>
    </r>
    <r>
      <rPr>
        <sz val="9"/>
        <color rgb="FF000000"/>
        <rFont val="Calibri"/>
        <family val="3"/>
        <charset val="129"/>
        <scheme val="minor"/>
      </rPr>
      <t>·</t>
    </r>
    <r>
      <rPr>
        <sz val="9"/>
        <color rgb="FF000000"/>
        <rFont val="돋움"/>
        <family val="3"/>
        <charset val="129"/>
      </rPr>
      <t>외부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환경분석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</si>
  <si>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외부환경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비대면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환경변화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전환</t>
    </r>
    <r>
      <rPr>
        <sz val="9"/>
        <color theme="1"/>
        <rFont val="Calibri"/>
        <family val="2"/>
        <scheme val="minor"/>
      </rPr>
      <t>(DX)</t>
    </r>
    <r>
      <rPr>
        <sz val="9"/>
        <color theme="1"/>
        <rFont val="돋움"/>
        <family val="2"/>
        <charset val="129"/>
      </rPr>
      <t>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정책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경제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사회</t>
    </r>
    <r>
      <rPr>
        <sz val="9"/>
        <color theme="1"/>
        <rFont val="Calibri"/>
        <family val="2"/>
        <scheme val="minor"/>
      </rPr>
      <t xml:space="preserve">/ </t>
    </r>
    <r>
      <rPr>
        <sz val="9"/>
        <color theme="1"/>
        <rFont val="돋움"/>
        <family val="2"/>
        <charset val="129"/>
      </rPr>
      <t>문화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외부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환경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시사점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경영환경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경영전략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환경변화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제도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융합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(AI, DT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* </t>
    </r>
    <r>
      <rPr>
        <sz val="9"/>
        <color theme="1"/>
        <rFont val="돋움"/>
        <family val="2"/>
        <charset val="129"/>
      </rPr>
      <t>공공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빅데이터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가이드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공공데이터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관리지침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식품클러스터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운영을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 * </t>
    </r>
    <r>
      <rPr>
        <sz val="9"/>
        <color theme="1"/>
        <rFont val="돋움"/>
        <family val="2"/>
        <charset val="129"/>
      </rPr>
      <t>행정기관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공공기관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운영지침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외부환경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법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영향을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미칠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시사점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환경분석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시사점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종합하여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설정</t>
    </r>
    <phoneticPr fontId="10" type="noConversion"/>
  </si>
  <si>
    <r>
      <rPr>
        <sz val="9"/>
        <color theme="1"/>
        <rFont val="맑은 고딕"/>
        <family val="3"/>
        <charset val="129"/>
      </rPr>
      <t>내외부</t>
    </r>
    <r>
      <rPr>
        <sz val="9"/>
        <color theme="1"/>
        <rFont val="Calibri"/>
        <family val="3"/>
        <charset val="129"/>
        <scheme val="minor"/>
      </rPr>
      <t xml:space="preserve"> </t>
    </r>
    <r>
      <rPr>
        <sz val="9"/>
        <color theme="1"/>
        <rFont val="돋움"/>
        <family val="3"/>
        <charset val="129"/>
      </rPr>
      <t>환경분석서</t>
    </r>
    <r>
      <rPr>
        <sz val="9"/>
        <color theme="1"/>
        <rFont val="Calibri"/>
        <family val="3"/>
        <charset val="129"/>
        <scheme val="minor"/>
      </rPr>
      <t xml:space="preserve">, </t>
    </r>
    <r>
      <rPr>
        <sz val="9"/>
        <color theme="1"/>
        <rFont val="돋움"/>
        <family val="3"/>
        <charset val="129"/>
      </rPr>
      <t>법</t>
    </r>
    <r>
      <rPr>
        <sz val="9"/>
        <color theme="1"/>
        <rFont val="Calibri"/>
        <family val="3"/>
        <charset val="129"/>
        <scheme val="minor"/>
      </rPr>
      <t>·</t>
    </r>
    <r>
      <rPr>
        <sz val="9"/>
        <color theme="1"/>
        <rFont val="돋움"/>
        <family val="3"/>
        <charset val="129"/>
      </rPr>
      <t>제도</t>
    </r>
    <r>
      <rPr>
        <sz val="9"/>
        <color theme="1"/>
        <rFont val="Calibri"/>
        <family val="3"/>
        <charset val="129"/>
        <scheme val="minor"/>
      </rPr>
      <t xml:space="preserve"> </t>
    </r>
    <r>
      <rPr>
        <sz val="9"/>
        <color theme="1"/>
        <rFont val="돋움"/>
        <family val="3"/>
        <charset val="129"/>
      </rPr>
      <t>분석서</t>
    </r>
    <phoneticPr fontId="10" type="noConversion"/>
  </si>
  <si>
    <r>
      <t>(</t>
    </r>
    <r>
      <rPr>
        <sz val="9"/>
        <color rgb="FF000000"/>
        <rFont val="돋움"/>
        <family val="3"/>
        <charset val="129"/>
      </rPr>
      <t>환경분석</t>
    </r>
    <r>
      <rPr>
        <sz val="9"/>
        <color rgb="FF000000"/>
        <rFont val="Calibri"/>
        <family val="3"/>
        <charset val="129"/>
        <scheme val="minor"/>
      </rPr>
      <t xml:space="preserve">) </t>
    </r>
    <r>
      <rPr>
        <sz val="9"/>
        <color rgb="FF000000"/>
        <rFont val="돋움"/>
        <family val="3"/>
        <charset val="129"/>
      </rPr>
      <t>지능정보기술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환경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적용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가능성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분석</t>
    </r>
    <phoneticPr fontId="10" type="noConversion"/>
  </si>
  <si>
    <r>
      <rPr>
        <sz val="9"/>
        <color rgb="FF000000"/>
        <rFont val="맑은 고딕"/>
        <family val="3"/>
        <charset val="129"/>
      </rPr>
      <t>지능정보기술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환경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분석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적용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가능성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검토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</si>
  <si>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최신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Bigdata, AI, Digital-twin, GIS, 5G Network, </t>
    </r>
    <r>
      <rPr>
        <sz val="9"/>
        <color theme="1"/>
        <rFont val="돋움"/>
        <family val="2"/>
        <charset val="129"/>
      </rPr>
      <t>클라우드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국내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최신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트렌드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가능성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검토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바탕으로</t>
    </r>
    <r>
      <rPr>
        <sz val="9"/>
        <color theme="1"/>
        <rFont val="Calibri"/>
        <family val="2"/>
        <scheme val="minor"/>
      </rPr>
      <t xml:space="preserve"> ‘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플랫폼’에서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가능성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검토</t>
    </r>
    <r>
      <rPr>
        <sz val="9"/>
        <color theme="1"/>
        <rFont val="Calibri"/>
        <family val="2"/>
        <scheme val="minor"/>
      </rPr>
      <t xml:space="preserve"> 
  -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동향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토대로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시사점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토대로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적용방향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기대효과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phoneticPr fontId="10" type="noConversion"/>
  </si>
  <si>
    <r>
      <rPr>
        <sz val="9"/>
        <color theme="1"/>
        <rFont val="맑은 고딕"/>
        <family val="3"/>
        <charset val="129"/>
      </rPr>
      <t>정보기술동향</t>
    </r>
    <r>
      <rPr>
        <sz val="9"/>
        <color theme="1"/>
        <rFont val="Calibri"/>
        <family val="3"/>
        <charset val="129"/>
        <scheme val="minor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Calibri"/>
        <family val="3"/>
        <charset val="129"/>
        <scheme val="minor"/>
      </rPr>
      <t xml:space="preserve"> </t>
    </r>
    <r>
      <rPr>
        <sz val="9"/>
        <color theme="1"/>
        <rFont val="돋움"/>
        <family val="3"/>
        <charset val="129"/>
      </rPr>
      <t>적용</t>
    </r>
    <r>
      <rPr>
        <sz val="9"/>
        <color theme="1"/>
        <rFont val="Calibri"/>
        <family val="3"/>
        <charset val="129"/>
        <scheme val="minor"/>
      </rPr>
      <t xml:space="preserve"> </t>
    </r>
    <r>
      <rPr>
        <sz val="9"/>
        <color theme="1"/>
        <rFont val="돋움"/>
        <family val="3"/>
        <charset val="129"/>
      </rPr>
      <t>적합성</t>
    </r>
    <r>
      <rPr>
        <sz val="9"/>
        <color theme="1"/>
        <rFont val="Calibri"/>
        <family val="3"/>
        <charset val="129"/>
        <scheme val="minor"/>
      </rPr>
      <t xml:space="preserve"> </t>
    </r>
    <r>
      <rPr>
        <sz val="9"/>
        <color theme="1"/>
        <rFont val="돋움"/>
        <family val="3"/>
        <charset val="129"/>
      </rPr>
      <t>분석서</t>
    </r>
    <phoneticPr fontId="10" type="noConversion"/>
  </si>
  <si>
    <r>
      <rPr>
        <b/>
        <sz val="10"/>
        <color rgb="FFFF0000"/>
        <rFont val="나눔고딕"/>
        <family val="3"/>
        <charset val="129"/>
      </rPr>
      <t>제안서 제출 10:00 (e-발주시스템)</t>
    </r>
    <r>
      <rPr>
        <b/>
        <sz val="10"/>
        <rFont val="나눔고딕"/>
        <family val="3"/>
        <charset val="129"/>
      </rPr>
      <t xml:space="preserve">
① 정량적/정성적 제안서 1식
② 요약서/발표자료 1식
③ 기타서류(입찰참가자격 확인서류)</t>
    </r>
    <phoneticPr fontId="28" type="noConversion"/>
  </si>
  <si>
    <r>
      <t>(</t>
    </r>
    <r>
      <rPr>
        <sz val="9"/>
        <color rgb="FF000000"/>
        <rFont val="돋움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>) ‘</t>
    </r>
    <r>
      <rPr>
        <sz val="9"/>
        <color rgb="FF000000"/>
        <rFont val="돋움"/>
        <family val="3"/>
        <charset val="129"/>
      </rPr>
      <t>디지털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식품정보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플랫폼’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기획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현황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분석</t>
    </r>
    <phoneticPr fontId="10" type="noConversion"/>
  </si>
  <si>
    <r>
      <rPr>
        <sz val="9"/>
        <color rgb="FF000000"/>
        <rFont val="맑은 고딕"/>
        <family val="3"/>
        <charset val="129"/>
      </rPr>
      <t>‘</t>
    </r>
    <r>
      <rPr>
        <sz val="9"/>
        <color rgb="FF000000"/>
        <rFont val="Calibri"/>
        <family val="3"/>
        <charset val="129"/>
        <scheme val="minor"/>
      </rPr>
      <t>22</t>
    </r>
    <r>
      <rPr>
        <sz val="9"/>
        <color rgb="FF000000"/>
        <rFont val="돋움"/>
        <family val="3"/>
        <charset val="129"/>
      </rPr>
      <t>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기획한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개념적인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과제에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대한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구체화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마련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</si>
  <si>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’22</t>
    </r>
    <r>
      <rPr>
        <sz val="9"/>
        <color theme="1"/>
        <rFont val="돋움"/>
        <family val="2"/>
        <charset val="129"/>
      </rPr>
      <t>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기획한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기초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개념적인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가능성을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검토하여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실효성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구체적인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 xml:space="preserve">마련
   </t>
    </r>
    <r>
      <rPr>
        <sz val="9"/>
        <color theme="1"/>
        <rFont val="Calibri"/>
        <family val="2"/>
        <scheme val="minor"/>
      </rPr>
      <t xml:space="preserve">*Bigdata, AI, Digital-twin, GIS, 5G Network </t>
    </r>
    <r>
      <rPr>
        <sz val="9"/>
        <color theme="1"/>
        <rFont val="돋움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구체적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콘텐츠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범위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접근방법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시사점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신규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기능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범위와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>* (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예정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요소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사용자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관리자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그룹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 xml:space="preserve">분석
   </t>
    </r>
    <r>
      <rPr>
        <sz val="9"/>
        <color theme="1"/>
        <rFont val="Calibri"/>
        <family val="2"/>
        <scheme val="minor"/>
      </rPr>
      <t xml:space="preserve">* </t>
    </r>
    <r>
      <rPr>
        <sz val="9"/>
        <color theme="1"/>
        <rFont val="돋움"/>
        <family val="2"/>
        <charset val="129"/>
      </rPr>
      <t>공공혁신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맞춤형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식이설계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기능성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농식품자원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phoneticPr fontId="10" type="noConversion"/>
  </si>
  <si>
    <t>과제분석결과서</t>
    <phoneticPr fontId="10" type="noConversion"/>
  </si>
  <si>
    <r>
      <t>(</t>
    </r>
    <r>
      <rPr>
        <sz val="9"/>
        <color rgb="FF000000"/>
        <rFont val="돋움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 xml:space="preserve">) </t>
    </r>
    <r>
      <rPr>
        <sz val="9"/>
        <color rgb="FF000000"/>
        <rFont val="돋움"/>
        <family val="3"/>
        <charset val="129"/>
      </rPr>
      <t>업무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정보화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현황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분석</t>
    </r>
    <phoneticPr fontId="10" type="noConversion"/>
  </si>
  <si>
    <r>
      <rPr>
        <sz val="9"/>
        <color rgb="FF000000"/>
        <rFont val="돋움"/>
        <family val="3"/>
        <charset val="129"/>
      </rPr>
      <t>업무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현황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분석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</si>
  <si>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식품정보플랫폼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업무분장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
   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프로세스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업무프로세스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업무기능을</t>
    </r>
    <r>
      <rPr>
        <sz val="9"/>
        <color theme="1"/>
        <rFont val="Calibri"/>
        <family val="2"/>
        <scheme val="minor"/>
      </rPr>
      <t xml:space="preserve"> 4</t>
    </r>
    <r>
      <rPr>
        <sz val="9"/>
        <color theme="1"/>
        <rFont val="돋움"/>
        <family val="2"/>
        <charset val="129"/>
      </rPr>
      <t>레벨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상세히</t>
    </r>
    <r>
      <rPr>
        <sz val="9"/>
        <color theme="1"/>
        <rFont val="Calibri"/>
        <family val="2"/>
        <scheme val="minor"/>
      </rPr>
      <t xml:space="preserve"> 
    </t>
    </r>
    <r>
      <rPr>
        <sz val="9"/>
        <color theme="1"/>
        <rFont val="돋움"/>
        <family val="2"/>
        <charset val="129"/>
      </rPr>
      <t>분해하여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업무기능분해도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  
  - </t>
    </r>
    <r>
      <rPr>
        <sz val="9"/>
        <color theme="1"/>
        <rFont val="돋움"/>
        <family val="2"/>
        <charset val="129"/>
      </rPr>
      <t>업무프로세스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문제점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식품산업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푸드테크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 - </t>
    </r>
    <r>
      <rPr>
        <sz val="9"/>
        <color theme="1"/>
        <rFont val="돋움"/>
        <family val="2"/>
        <charset val="129"/>
      </rPr>
      <t>현행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운영현황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응용아키텍처</t>
    </r>
    <r>
      <rPr>
        <sz val="9"/>
        <color theme="1"/>
        <rFont val="Calibri"/>
        <family val="2"/>
        <scheme val="minor"/>
      </rPr>
      <t xml:space="preserve">(AA), </t>
    </r>
    <r>
      <rPr>
        <sz val="9"/>
        <color theme="1"/>
        <rFont val="돋움"/>
        <family val="2"/>
        <charset val="129"/>
      </rPr>
      <t>데이터아키텍처</t>
    </r>
    <r>
      <rPr>
        <sz val="9"/>
        <color theme="1"/>
        <rFont val="Calibri"/>
        <family val="2"/>
        <scheme val="minor"/>
      </rPr>
      <t xml:space="preserve">(DA), </t>
    </r>
    <r>
      <rPr>
        <sz val="9"/>
        <color theme="1"/>
        <rFont val="돋움"/>
        <family val="2"/>
        <charset val="129"/>
      </rPr>
      <t>기술아키텍처</t>
    </r>
    <r>
      <rPr>
        <sz val="9"/>
        <color theme="1"/>
        <rFont val="Calibri"/>
        <family val="2"/>
        <scheme val="minor"/>
      </rPr>
      <t xml:space="preserve">(TA), </t>
    </r>
    <r>
      <rPr>
        <sz val="9"/>
        <color theme="1"/>
        <rFont val="돋움"/>
        <family val="2"/>
        <charset val="129"/>
      </rPr>
      <t>보안아키텍처</t>
    </r>
    <r>
      <rPr>
        <sz val="9"/>
        <color theme="1"/>
        <rFont val="Calibri"/>
        <family val="2"/>
        <scheme val="minor"/>
      </rPr>
      <t xml:space="preserve">(SA) </t>
    </r>
    <r>
      <rPr>
        <sz val="9"/>
        <color theme="1"/>
        <rFont val="돋움"/>
        <family val="2"/>
        <charset val="129"/>
      </rPr>
      <t>등의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관점으로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유지관리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서버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네트워크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보안장비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패키지</t>
    </r>
    <r>
      <rPr>
        <sz val="9"/>
        <color theme="1"/>
        <rFont val="Calibri"/>
        <family val="2"/>
        <scheme val="minor"/>
      </rPr>
      <t xml:space="preserve"> SW, </t>
    </r>
    <r>
      <rPr>
        <sz val="9"/>
        <color theme="1"/>
        <rFont val="돋움"/>
        <family val="2"/>
        <charset val="129"/>
      </rPr>
      <t>업무용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응용시스템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영역별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수행체계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phoneticPr fontId="10" type="noConversion"/>
  </si>
  <si>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현황분석서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현황분석서</t>
    </r>
    <phoneticPr fontId="10" type="noConversion"/>
  </si>
  <si>
    <r>
      <t>(</t>
    </r>
    <r>
      <rPr>
        <sz val="9"/>
        <color rgb="FF000000"/>
        <rFont val="돋움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 xml:space="preserve">) </t>
    </r>
    <r>
      <rPr>
        <sz val="9"/>
        <color rgb="FF000000"/>
        <rFont val="돋움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표준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개선방안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도출</t>
    </r>
    <phoneticPr fontId="10" type="noConversion"/>
  </si>
  <si>
    <r>
      <rPr>
        <sz val="9"/>
        <color rgb="FF000000"/>
        <rFont val="돋움"/>
        <family val="3"/>
        <charset val="129"/>
      </rPr>
      <t>목표시스템의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표준화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관리방안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수립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</si>
  <si>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범정부</t>
    </r>
    <r>
      <rPr>
        <sz val="9"/>
        <color theme="1"/>
        <rFont val="Calibri"/>
        <family val="2"/>
        <scheme val="minor"/>
      </rPr>
      <t xml:space="preserve">*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돋움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표준사전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국내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산업표준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진단 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목표시스템의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특성에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맞는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 
   * </t>
    </r>
    <r>
      <rPr>
        <sz val="9"/>
        <color theme="1"/>
        <rFont val="돋움"/>
        <family val="2"/>
        <charset val="129"/>
      </rPr>
      <t>공공기관의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데이터베이스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 xml:space="preserve"> 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고시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 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돋움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표준관리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변경이력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체계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메타데이터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문서화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돋움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표준관리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변경이력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방안을 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</si>
  <si>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r>
      <rPr>
        <sz val="9"/>
        <color theme="1"/>
        <rFont val="돋움"/>
        <family val="2"/>
        <charset val="129"/>
      </rPr>
      <t>목표시스템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방안수립서</t>
    </r>
    <phoneticPr fontId="10" type="noConversion"/>
  </si>
  <si>
    <r>
      <t>(</t>
    </r>
    <r>
      <rPr>
        <sz val="9"/>
        <color rgb="FF000000"/>
        <rFont val="돋움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 xml:space="preserve">) </t>
    </r>
    <r>
      <rPr>
        <sz val="9"/>
        <color rgb="FF000000"/>
        <rFont val="돋움"/>
        <family val="3"/>
        <charset val="129"/>
      </rPr>
      <t>최신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지능정보기술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적용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업무분석</t>
    </r>
    <phoneticPr fontId="10" type="noConversion"/>
  </si>
  <si>
    <r>
      <rPr>
        <sz val="9"/>
        <color rgb="FF000000"/>
        <rFont val="돋움"/>
        <family val="3"/>
        <charset val="129"/>
      </rPr>
      <t>최신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지능정보기술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적용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업무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선정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제시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</si>
  <si>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최신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대상은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인공지능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빅데이터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디지털트윈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메타버스</t>
    </r>
    <r>
      <rPr>
        <sz val="9"/>
        <color theme="1"/>
        <rFont val="Calibri"/>
        <family val="2"/>
        <scheme val="minor"/>
      </rPr>
      <t>, 5G</t>
    </r>
    <r>
      <rPr>
        <sz val="9"/>
        <color theme="1"/>
        <rFont val="돋움"/>
        <family val="2"/>
        <charset val="129"/>
      </rPr>
      <t>네트워크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블록체인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등임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최신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협의를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선정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식품진흥원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선정된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업무효율이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향상될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업무기능분해도를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중심으로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도출한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적용방안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고려사항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phoneticPr fontId="10" type="noConversion"/>
  </si>
  <si>
    <r>
      <rPr>
        <sz val="9"/>
        <color theme="1"/>
        <rFont val="돋움"/>
        <family val="2"/>
        <charset val="129"/>
      </rPr>
      <t>최신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업무분석서</t>
    </r>
    <phoneticPr fontId="10" type="noConversion"/>
  </si>
  <si>
    <r>
      <t>(</t>
    </r>
    <r>
      <rPr>
        <sz val="9"/>
        <color rgb="FF000000"/>
        <rFont val="돋움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 xml:space="preserve">) </t>
    </r>
    <r>
      <rPr>
        <sz val="9"/>
        <color rgb="FF000000"/>
        <rFont val="돋움"/>
        <family val="3"/>
        <charset val="129"/>
      </rPr>
      <t>이해관계자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요구사항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조사</t>
    </r>
    <phoneticPr fontId="10" type="noConversion"/>
  </si>
  <si>
    <r>
      <rPr>
        <sz val="9"/>
        <color rgb="FF000000"/>
        <rFont val="돋움"/>
        <family val="3"/>
        <charset val="129"/>
      </rPr>
      <t>정보시스템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관련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이해관계자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요구사항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조사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개선과제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도출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</si>
  <si>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내외부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이해관계자의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이해관계자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현업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담당자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이해관계자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관련부서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인터뷰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진행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정보화전략계획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외부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이해관계자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  * </t>
    </r>
    <r>
      <rPr>
        <sz val="9"/>
        <color theme="1"/>
        <rFont val="돋움"/>
        <family val="2"/>
        <charset val="129"/>
      </rPr>
      <t>농식품부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식품제조기업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연관업종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기업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관계기관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대학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대국민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유형별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카테고리를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나눠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효과적인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조사방법을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구사하여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 xml:space="preserve"> 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바탕으로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문제점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이해관계자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인터뷰를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문제점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이슈도출을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 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이해관계자의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충족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여부를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확인하고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기대사항을</t>
    </r>
    <r>
      <rPr>
        <sz val="9"/>
        <color theme="1"/>
        <rFont val="Calibri"/>
        <family val="2"/>
        <scheme val="minor"/>
      </rPr>
      <t xml:space="preserve">     </t>
    </r>
    <r>
      <rPr>
        <sz val="9"/>
        <color theme="1"/>
        <rFont val="돋움"/>
        <family val="2"/>
        <charset val="129"/>
      </rPr>
      <t>고려하여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방향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달성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반영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플랫폼에서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추가적인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기능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  </t>
    </r>
    <r>
      <rPr>
        <sz val="9"/>
        <color theme="1"/>
        <rFont val="돋움"/>
        <family val="2"/>
        <charset val="129"/>
      </rPr>
      <t>범위와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기존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예정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플랫폼과의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미래</t>
    </r>
    <r>
      <rPr>
        <sz val="9"/>
        <color theme="1"/>
        <rFont val="Calibri"/>
        <family val="2"/>
        <scheme val="minor"/>
      </rPr>
      <t xml:space="preserve">   </t>
    </r>
    <r>
      <rPr>
        <sz val="9"/>
        <color theme="1"/>
        <rFont val="돋움"/>
        <family val="2"/>
        <charset val="129"/>
      </rPr>
      <t>모델에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반영</t>
    </r>
    <phoneticPr fontId="10" type="noConversion"/>
  </si>
  <si>
    <r>
      <rPr>
        <sz val="9"/>
        <color theme="1"/>
        <rFont val="돋움"/>
        <family val="2"/>
        <charset val="129"/>
      </rPr>
      <t>관계자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인터뷰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분석서</t>
    </r>
    <phoneticPr fontId="10" type="noConversion"/>
  </si>
  <si>
    <r>
      <t>(</t>
    </r>
    <r>
      <rPr>
        <sz val="9"/>
        <color rgb="FF000000"/>
        <rFont val="돋움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 xml:space="preserve">) </t>
    </r>
    <r>
      <rPr>
        <sz val="9"/>
        <color rgb="FF000000"/>
        <rFont val="돋움"/>
        <family val="3"/>
        <charset val="129"/>
      </rPr>
      <t>국내외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선진사례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조사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gap </t>
    </r>
    <r>
      <rPr>
        <sz val="9"/>
        <color rgb="FF000000"/>
        <rFont val="돋움"/>
        <family val="3"/>
        <charset val="129"/>
      </rPr>
      <t>분석</t>
    </r>
    <phoneticPr fontId="10" type="noConversion"/>
  </si>
  <si>
    <r>
      <rPr>
        <sz val="9"/>
        <color rgb="FF000000"/>
        <rFont val="돋움"/>
        <family val="3"/>
        <charset val="129"/>
      </rPr>
      <t>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기관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정보화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선진사례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분석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개선방향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도출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</si>
  <si>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조사분석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빅데이터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사례</t>
    </r>
    <r>
      <rPr>
        <sz val="9"/>
        <color theme="1"/>
        <rFont val="Calibri"/>
        <family val="2"/>
        <scheme val="minor"/>
      </rPr>
      <t xml:space="preserve">
    * </t>
    </r>
    <r>
      <rPr>
        <sz val="9"/>
        <color theme="1"/>
        <rFont val="돋움"/>
        <family val="2"/>
        <charset val="129"/>
      </rPr>
      <t>「범정부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분석시스템」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여부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통합관리를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메타데이터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체계</t>
    </r>
    <r>
      <rPr>
        <sz val="9"/>
        <color theme="1"/>
        <rFont val="Calibri"/>
        <family val="2"/>
        <scheme val="minor"/>
      </rPr>
      <t xml:space="preserve">
    *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문제점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개선방향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
   - ICT</t>
    </r>
    <r>
      <rPr>
        <sz val="9"/>
        <color theme="1"/>
        <rFont val="돋움"/>
        <family val="2"/>
        <charset val="129"/>
      </rPr>
      <t>기술을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기업지원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사용자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맞춤형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사례</t>
    </r>
    <r>
      <rPr>
        <sz val="9"/>
        <color theme="1"/>
        <rFont val="Calibri"/>
        <family val="2"/>
        <scheme val="minor"/>
      </rPr>
      <t xml:space="preserve">
    * </t>
    </r>
    <r>
      <rPr>
        <sz val="9"/>
        <color theme="1"/>
        <rFont val="돋움"/>
        <family val="2"/>
        <charset val="129"/>
      </rPr>
      <t>맞춤형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정확도를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높이기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   </t>
    </r>
    <r>
      <rPr>
        <sz val="9"/>
        <color theme="1"/>
        <rFont val="돋움"/>
        <family val="2"/>
        <charset val="129"/>
      </rPr>
      <t>주요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가능성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유사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연계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검토</t>
    </r>
    <r>
      <rPr>
        <sz val="9"/>
        <color theme="1"/>
        <rFont val="Calibri"/>
        <family val="2"/>
        <scheme val="minor"/>
      </rPr>
      <t xml:space="preserve">
    * ‘</t>
    </r>
    <r>
      <rPr>
        <sz val="9"/>
        <color theme="1"/>
        <rFont val="돋움"/>
        <family val="2"/>
        <charset val="129"/>
      </rPr>
      <t>농정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빅데이터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플랫폼’</t>
    </r>
    <r>
      <rPr>
        <sz val="9"/>
        <color theme="1"/>
        <rFont val="Calibri"/>
        <family val="2"/>
        <scheme val="minor"/>
      </rPr>
      <t>,‘</t>
    </r>
    <r>
      <rPr>
        <sz val="9"/>
        <color theme="1"/>
        <rFont val="돋움"/>
        <family val="2"/>
        <charset val="129"/>
      </rPr>
      <t>범정부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분석시스템’</t>
    </r>
    <r>
      <rPr>
        <sz val="9"/>
        <color theme="1"/>
        <rFont val="Calibri"/>
        <family val="2"/>
        <scheme val="minor"/>
      </rPr>
      <t>,‘</t>
    </r>
    <r>
      <rPr>
        <sz val="9"/>
        <color theme="1"/>
        <rFont val="돋움"/>
        <family val="2"/>
        <charset val="129"/>
      </rPr>
      <t>농식품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빅데이터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거래소’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연계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활용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조사분석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업무절차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환경</t>
    </r>
    <r>
      <rPr>
        <sz val="9"/>
        <color theme="1"/>
        <rFont val="Calibri"/>
        <family val="2"/>
        <scheme val="minor"/>
      </rPr>
      <t xml:space="preserve">, IT </t>
    </r>
    <r>
      <rPr>
        <sz val="9"/>
        <color theme="1"/>
        <rFont val="돋움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운영현황</t>
    </r>
    <r>
      <rPr>
        <sz val="9"/>
        <color theme="1"/>
        <rFont val="Calibri"/>
        <family val="2"/>
        <scheme val="minor"/>
      </rPr>
      <t xml:space="preserve">,  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예산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파악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보고서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
   - ‘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플랫폼’에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적용가능한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기술적</t>
    </r>
    <r>
      <rPr>
        <sz val="9"/>
        <color theme="1"/>
        <rFont val="Calibri"/>
        <family val="2"/>
        <scheme val="minor"/>
      </rPr>
      <t xml:space="preserve">,   </t>
    </r>
    <r>
      <rPr>
        <sz val="9"/>
        <color theme="1"/>
        <rFont val="돋움"/>
        <family val="2"/>
        <charset val="129"/>
      </rPr>
      <t>기능적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운영적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gap </t>
    </r>
    <r>
      <rPr>
        <sz val="9"/>
        <color theme="1"/>
        <rFont val="돋움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- gap </t>
    </r>
    <r>
      <rPr>
        <sz val="9"/>
        <color theme="1"/>
        <rFont val="돋움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수립된</t>
    </r>
    <r>
      <rPr>
        <sz val="9"/>
        <color theme="1"/>
        <rFont val="Calibri"/>
        <family val="2"/>
        <scheme val="minor"/>
      </rPr>
      <t xml:space="preserve"> ‘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  </t>
    </r>
    <r>
      <rPr>
        <sz val="9"/>
        <color theme="1"/>
        <rFont val="돋움"/>
        <family val="2"/>
        <charset val="129"/>
      </rPr>
      <t>프로세스</t>
    </r>
    <r>
      <rPr>
        <sz val="9"/>
        <color theme="1"/>
        <rFont val="Calibri"/>
        <family val="2"/>
        <scheme val="minor"/>
      </rPr>
      <t xml:space="preserve">, IT </t>
    </r>
    <r>
      <rPr>
        <sz val="9"/>
        <color theme="1"/>
        <rFont val="돋움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플랫폼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HW, SW, NW,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,   </t>
    </r>
    <r>
      <rPr>
        <sz val="9"/>
        <color theme="1"/>
        <rFont val="돋움"/>
        <family val="2"/>
        <charset val="129"/>
      </rPr>
      <t>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환경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보안구조의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개선방향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phoneticPr fontId="10" type="noConversion"/>
  </si>
  <si>
    <r>
      <rPr>
        <sz val="9"/>
        <color theme="1"/>
        <rFont val="돋움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파악서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차이분석서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개선방안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수립서</t>
    </r>
    <phoneticPr fontId="10" type="noConversion"/>
  </si>
  <si>
    <r>
      <rPr>
        <sz val="9"/>
        <color rgb="FF000000"/>
        <rFont val="돋움"/>
        <family val="3"/>
        <charset val="129"/>
      </rPr>
      <t>정보화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전략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수립</t>
    </r>
    <phoneticPr fontId="10" type="noConversion"/>
  </si>
  <si>
    <r>
      <rPr>
        <sz val="9"/>
        <color rgb="FF000000"/>
        <rFont val="돋움"/>
        <family val="3"/>
        <charset val="129"/>
      </rPr>
      <t>정보화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비전수립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전략과제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도출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</si>
  <si>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디지털식품클러스터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환경분석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바탕으로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개선방향을</t>
    </r>
    <r>
      <rPr>
        <sz val="9"/>
        <color theme="1"/>
        <rFont val="Calibri"/>
        <family val="2"/>
        <scheme val="minor"/>
      </rPr>
      <t xml:space="preserve">   </t>
    </r>
    <r>
      <rPr>
        <sz val="9"/>
        <color theme="1"/>
        <rFont val="돋움"/>
        <family val="2"/>
        <charset val="129"/>
      </rPr>
      <t>반영하여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목표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중장기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추진방향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로드맵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제공하고자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신규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기능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기술적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요건</t>
    </r>
    <r>
      <rPr>
        <sz val="9"/>
        <color theme="1"/>
        <rFont val="Calibri"/>
        <family val="2"/>
        <scheme val="minor"/>
      </rPr>
      <t xml:space="preserve">    </t>
    </r>
    <r>
      <rPr>
        <sz val="9"/>
        <color theme="1"/>
        <rFont val="돋움"/>
        <family val="2"/>
        <charset val="129"/>
      </rPr>
      <t>기존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중복성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우선순위를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고려하여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추진전략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phoneticPr fontId="10" type="noConversion"/>
  </si>
  <si>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로드맵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전략과제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설계서</t>
    </r>
    <phoneticPr fontId="10" type="noConversion"/>
  </si>
  <si>
    <r>
      <rPr>
        <sz val="9"/>
        <color rgb="FF000000"/>
        <rFont val="돋움"/>
        <family val="3"/>
        <charset val="129"/>
      </rPr>
      <t>목표모델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설계</t>
    </r>
    <phoneticPr fontId="10" type="noConversion"/>
  </si>
  <si>
    <r>
      <rPr>
        <sz val="9"/>
        <color rgb="FF000000"/>
        <rFont val="돋움"/>
        <family val="3"/>
        <charset val="129"/>
      </rPr>
      <t>목표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모델과제에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대한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상세화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작업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수행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</si>
  <si>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디지털식품클러스터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돋움"/>
        <family val="2"/>
        <charset val="129"/>
      </rPr>
      <t>새롭게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따른</t>
    </r>
    <r>
      <rPr>
        <sz val="9"/>
        <color theme="1"/>
        <rFont val="Calibri"/>
        <family val="2"/>
        <scheme val="minor"/>
      </rPr>
      <t xml:space="preserve"> To-Be </t>
    </r>
    <r>
      <rPr>
        <sz val="9"/>
        <color theme="1"/>
        <rFont val="돋움"/>
        <family val="2"/>
        <charset val="129"/>
      </rPr>
      <t>구성도</t>
    </r>
    <r>
      <rPr>
        <sz val="9"/>
        <color theme="1"/>
        <rFont val="Calibri"/>
        <family val="2"/>
        <scheme val="minor"/>
      </rPr>
      <t xml:space="preserve">(SW, HW,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미래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돋움"/>
        <family val="2"/>
        <charset val="129"/>
      </rPr>
      <t>가상식품클러스터와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오프라인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연계할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마련</t>
    </r>
    <r>
      <rPr>
        <sz val="9"/>
        <color theme="1"/>
        <rFont val="Calibri"/>
        <family val="2"/>
        <scheme val="minor"/>
      </rPr>
      <t xml:space="preserve">
   (</t>
    </r>
    <r>
      <rPr>
        <sz val="9"/>
        <color theme="1"/>
        <rFont val="돋움"/>
        <family val="2"/>
        <charset val="129"/>
      </rPr>
      <t>향후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지속적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사용자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유입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활동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사용자간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커뮤니터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형성에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유리한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테마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기획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개발</t>
    </r>
    <r>
      <rPr>
        <sz val="9"/>
        <color theme="1"/>
        <rFont val="Calibri"/>
        <family val="2"/>
        <scheme val="minor"/>
      </rPr>
      <t xml:space="preserve">)
 - </t>
    </r>
    <r>
      <rPr>
        <sz val="9"/>
        <color theme="1"/>
        <rFont val="돋움"/>
        <family val="2"/>
        <charset val="129"/>
      </rPr>
      <t>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행정정보공동이용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센터를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우선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검토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클라우드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활용방안</t>
    </r>
    <r>
      <rPr>
        <sz val="9"/>
        <color theme="1"/>
        <rFont val="Calibri"/>
        <family val="2"/>
        <scheme val="minor"/>
      </rPr>
      <t xml:space="preserve">(laaS, SaaS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검토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기업지원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   
  - </t>
    </r>
    <r>
      <rPr>
        <sz val="9"/>
        <color theme="1"/>
        <rFont val="돋움"/>
        <family val="2"/>
        <charset val="129"/>
      </rPr>
      <t>기업지원환경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분석결과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종합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기술검토를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UI/UX </t>
    </r>
    <r>
      <rPr>
        <sz val="9"/>
        <color theme="1"/>
        <rFont val="돋움"/>
        <family val="2"/>
        <charset val="129"/>
      </rPr>
      <t>구현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표준모델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돋움"/>
        <family val="2"/>
        <charset val="129"/>
      </rPr>
      <t>주요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기능의</t>
    </r>
    <r>
      <rPr>
        <sz val="9"/>
        <color theme="1"/>
        <rFont val="Calibri"/>
        <family val="2"/>
        <scheme val="minor"/>
      </rPr>
      <t xml:space="preserve"> UI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돋움"/>
        <family val="2"/>
        <charset val="129"/>
      </rPr>
      <t>모바일</t>
    </r>
    <r>
      <rPr>
        <sz val="9"/>
        <color theme="1"/>
        <rFont val="Calibri"/>
        <family val="2"/>
        <scheme val="minor"/>
      </rPr>
      <t xml:space="preserve">·PC </t>
    </r>
    <r>
      <rPr>
        <sz val="9"/>
        <color theme="1"/>
        <rFont val="돋움"/>
        <family val="2"/>
        <charset val="129"/>
      </rPr>
      <t>기반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접근성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기반</t>
    </r>
    <r>
      <rPr>
        <sz val="9"/>
        <color theme="1"/>
        <rFont val="Calibri"/>
        <family val="2"/>
        <scheme val="minor"/>
      </rPr>
      <t xml:space="preserve">, HMD </t>
    </r>
    <r>
      <rPr>
        <sz val="9"/>
        <color theme="1"/>
        <rFont val="돋움"/>
        <family val="2"/>
        <charset val="129"/>
      </rPr>
      <t>기반의</t>
    </r>
    <r>
      <rPr>
        <sz val="9"/>
        <color theme="1"/>
        <rFont val="Calibri"/>
        <family val="2"/>
        <scheme val="minor"/>
      </rPr>
      <t xml:space="preserve"> UI </t>
    </r>
    <r>
      <rPr>
        <sz val="9"/>
        <color theme="1"/>
        <rFont val="돋움"/>
        <family val="2"/>
        <charset val="129"/>
      </rPr>
      <t>구현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 * </t>
    </r>
    <r>
      <rPr>
        <sz val="9"/>
        <color theme="1"/>
        <rFont val="돋움"/>
        <family val="2"/>
        <charset val="129"/>
      </rPr>
      <t>모바일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전자정부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
   * </t>
    </r>
    <r>
      <rPr>
        <sz val="9"/>
        <color theme="1"/>
        <rFont val="돋움"/>
        <family val="2"/>
        <charset val="129"/>
      </rPr>
      <t>전자정부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웹사이트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품질관리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돋움"/>
        <family val="2"/>
        <charset val="129"/>
      </rPr>
      <t>고령층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장애인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취약계층의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접근성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향상을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UI/UX </t>
    </r>
    <r>
      <rPr>
        <sz val="9"/>
        <color theme="1"/>
        <rFont val="돋움"/>
        <family val="2"/>
        <charset val="129"/>
      </rPr>
      <t>제고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 * </t>
    </r>
    <r>
      <rPr>
        <sz val="9"/>
        <color theme="1"/>
        <rFont val="돋움"/>
        <family val="2"/>
        <charset val="129"/>
      </rPr>
      <t>장애인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고령자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접근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편의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증진을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과학기술정보통신부고시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</t>
    </r>
    <r>
      <rPr>
        <sz val="9"/>
        <color theme="1"/>
        <rFont val="Calibri"/>
        <family val="2"/>
        <scheme val="minor"/>
      </rPr>
      <t>2022-23</t>
    </r>
    <r>
      <rPr>
        <sz val="9"/>
        <color theme="1"/>
        <rFont val="돋움"/>
        <family val="2"/>
        <charset val="129"/>
      </rPr>
      <t>호</t>
    </r>
    <r>
      <rPr>
        <sz val="9"/>
        <color theme="1"/>
        <rFont val="Calibri"/>
        <family val="2"/>
        <scheme val="minor"/>
      </rPr>
      <t xml:space="preserve">)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유지보수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    
  - </t>
    </r>
    <r>
      <rPr>
        <sz val="9"/>
        <color theme="1"/>
        <rFont val="돋움"/>
        <family val="2"/>
        <charset val="129"/>
      </rPr>
      <t>지속적인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업데이트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유지보수를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처리속도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향상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통합유지관리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목표모델별로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최적화된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세부실행과제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</t>
    </r>
    <r>
      <rPr>
        <sz val="9"/>
        <color theme="1"/>
        <rFont val="Calibri"/>
        <family val="2"/>
        <scheme val="minor"/>
      </rPr>
      <t xml:space="preserve">
  * </t>
    </r>
    <r>
      <rPr>
        <sz val="9"/>
        <color theme="1"/>
        <rFont val="돋움"/>
        <family val="2"/>
        <charset val="129"/>
      </rPr>
      <t>현재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기술단계보다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업그레이드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신기술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고사양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구현을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고려한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프로세스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업무기능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절차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
  - </t>
    </r>
    <r>
      <rPr>
        <sz val="9"/>
        <color theme="1"/>
        <rFont val="돋움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어플리케이션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기능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인터페이스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
  -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흐름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저장소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관계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
  -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소프트웨어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인프라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네트워크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메타데이터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관리체계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메타데이터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관리체계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기반으로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취약점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* </t>
    </r>
    <r>
      <rPr>
        <sz val="9"/>
        <color theme="1"/>
        <rFont val="돋움"/>
        <family val="2"/>
        <charset val="129"/>
      </rPr>
      <t>공공데이터베이스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매뉴얼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참조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관리체계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
  -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관리체계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
  -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기반으로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데이터구조관리의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취약점의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품질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관리체계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개선방향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목표체계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관리방안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구조를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설계부터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단계까지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지속적으로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현황분석을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기반으로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과제별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타당성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필요성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시급성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중복성</t>
    </r>
    <r>
      <rPr>
        <sz val="9"/>
        <color theme="1"/>
        <rFont val="Calibri"/>
        <family val="2"/>
        <scheme val="minor"/>
      </rPr>
      <t xml:space="preserve">), </t>
    </r>
    <r>
      <rPr>
        <sz val="9"/>
        <color theme="1"/>
        <rFont val="돋움"/>
        <family val="2"/>
        <charset val="129"/>
      </rPr>
      <t>추진계획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내용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적용기술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기대효과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활성화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년차별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고도화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확산을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고려사항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마련</t>
    </r>
    <phoneticPr fontId="10" type="noConversion"/>
  </si>
  <si>
    <r>
      <t xml:space="preserve">To-Be </t>
    </r>
    <r>
      <rPr>
        <sz val="9"/>
        <color theme="1"/>
        <rFont val="돋움"/>
        <family val="2"/>
        <charset val="129"/>
      </rPr>
      <t>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업무프로세스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설계서</t>
    </r>
    <phoneticPr fontId="10" type="noConversion"/>
  </si>
  <si>
    <r>
      <rPr>
        <sz val="9"/>
        <color rgb="FF000000"/>
        <rFont val="돋움"/>
        <family val="3"/>
        <charset val="129"/>
      </rPr>
      <t>통합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이행계획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수립</t>
    </r>
    <phoneticPr fontId="10" type="noConversion"/>
  </si>
  <si>
    <r>
      <rPr>
        <sz val="9"/>
        <color rgb="FF000000"/>
        <rFont val="돋움"/>
        <family val="3"/>
        <charset val="129"/>
      </rPr>
      <t>디지털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식품클러스터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통합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이행계획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수립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</si>
  <si>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장기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로드맵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미래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먹거리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고려한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지능정보기술을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가상식품클러스터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로드맵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이행과제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이행과제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연관관계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우선순위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수행효율성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유사사업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사례</t>
    </r>
    <r>
      <rPr>
        <sz val="9"/>
        <color theme="1"/>
        <rFont val="Calibri"/>
        <family val="2"/>
        <scheme val="minor"/>
      </rPr>
      <t xml:space="preserve">  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이행전략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이행계획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중장기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)
   -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범위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확정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개발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규모는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기능점수로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</t>
    </r>
    <r>
      <rPr>
        <sz val="9"/>
        <color theme="1"/>
        <rFont val="Calibri"/>
        <family val="2"/>
        <scheme val="minor"/>
      </rPr>
      <t xml:space="preserve">)
   -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사업관리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표준화</t>
    </r>
    <r>
      <rPr>
        <sz val="9"/>
        <color theme="1"/>
        <rFont val="Calibri"/>
        <family val="2"/>
        <scheme val="minor"/>
      </rPr>
      <t xml:space="preserve"> 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, S/W </t>
    </r>
    <r>
      <rPr>
        <sz val="9"/>
        <color theme="1"/>
        <rFont val="돋움"/>
        <family val="2"/>
        <charset val="129"/>
      </rPr>
      <t>분리발주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인프라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세부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이행계획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phoneticPr fontId="10" type="noConversion"/>
  </si>
  <si>
    <r>
      <rPr>
        <sz val="9"/>
        <color theme="1"/>
        <rFont val="돋움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이행계획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수립서</t>
    </r>
    <phoneticPr fontId="10" type="noConversion"/>
  </si>
  <si>
    <r>
      <rPr>
        <sz val="9"/>
        <color rgb="FF000000"/>
        <rFont val="돋움"/>
        <family val="3"/>
        <charset val="129"/>
      </rPr>
      <t>플랫폼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운영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마련</t>
    </r>
    <phoneticPr fontId="10" type="noConversion"/>
  </si>
  <si>
    <r>
      <rPr>
        <sz val="9"/>
        <color rgb="FF000000"/>
        <rFont val="돋움"/>
        <family val="3"/>
        <charset val="129"/>
      </rPr>
      <t>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구축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정보화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조직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구성방안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제시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</si>
  <si>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기획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고려한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조직구성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시스템에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신규서비스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기획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구현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운영을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효율적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 </t>
    </r>
    <r>
      <rPr>
        <sz val="9"/>
        <color theme="1"/>
        <rFont val="돋움"/>
        <family val="2"/>
        <charset val="129"/>
      </rPr>
      <t>기능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유관기관과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연계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통합이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기관별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역할과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협조체계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Data </t>
    </r>
    <r>
      <rPr>
        <sz val="9"/>
        <color theme="1"/>
        <rFont val="돋움"/>
        <family val="2"/>
        <charset val="129"/>
      </rPr>
      <t>기반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행정지원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조직구성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 </t>
    </r>
    <phoneticPr fontId="10" type="noConversion"/>
  </si>
  <si>
    <r>
      <rPr>
        <sz val="9"/>
        <color theme="1"/>
        <rFont val="돋움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운영조직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구성방안</t>
    </r>
    <phoneticPr fontId="10" type="noConversion"/>
  </si>
  <si>
    <r>
      <rPr>
        <sz val="9"/>
        <color rgb="FF000000"/>
        <rFont val="돋움"/>
        <family val="3"/>
        <charset val="129"/>
      </rPr>
      <t>원가산정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기대효과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분석</t>
    </r>
    <phoneticPr fontId="10" type="noConversion"/>
  </si>
  <si>
    <r>
      <rPr>
        <sz val="9"/>
        <color rgb="FF000000"/>
        <rFont val="돋움"/>
        <family val="3"/>
        <charset val="129"/>
      </rPr>
      <t>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구축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원가산정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기대효과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분석</t>
    </r>
    <phoneticPr fontId="10" type="noConversion"/>
  </si>
  <si>
    <r>
      <t xml:space="preserve">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산정</t>
    </r>
    <r>
      <rPr>
        <sz val="9"/>
        <color theme="1"/>
        <rFont val="Calibri"/>
        <family val="2"/>
        <scheme val="minor"/>
      </rPr>
      <t xml:space="preserve">
    </t>
    </r>
    <r>
      <rPr>
        <sz val="9"/>
        <color theme="1"/>
        <rFont val="맑은 고딕"/>
        <family val="2"/>
        <charset val="129"/>
      </rPr>
      <t>※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소요비용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근거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객관적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HW, SW, NW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정보자원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확보에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소요되는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개발을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기능점수</t>
    </r>
    <r>
      <rPr>
        <sz val="9"/>
        <color theme="1"/>
        <rFont val="Calibri"/>
        <family val="2"/>
        <scheme val="minor"/>
      </rPr>
      <t xml:space="preserve">(FP)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데이터베이스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구축비용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정보보안시스템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구축비용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장기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소요비용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산정</t>
    </r>
    <r>
      <rPr>
        <sz val="9"/>
        <color theme="1"/>
        <rFont val="Calibri"/>
        <family val="2"/>
        <scheme val="minor"/>
      </rPr>
      <t xml:space="preserve">
   (</t>
    </r>
    <r>
      <rPr>
        <sz val="9"/>
        <color theme="1"/>
        <rFont val="돋움"/>
        <family val="2"/>
        <charset val="129"/>
      </rPr>
      <t>소요예산은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소프트웨어사업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대가산정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가이드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)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기대효과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업무효율성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향상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사용자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편익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만족도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향상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정량적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정성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기대효과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</t>
    </r>
    <r>
      <rPr>
        <sz val="9"/>
        <color theme="1"/>
        <rFont val="Calibri"/>
        <family val="2"/>
        <scheme val="minor"/>
      </rPr>
      <t xml:space="preserve"> </t>
    </r>
    <phoneticPr fontId="10" type="noConversion"/>
  </si>
  <si>
    <r>
      <rPr>
        <sz val="9"/>
        <color theme="1"/>
        <rFont val="돋움"/>
        <family val="2"/>
        <charset val="129"/>
      </rPr>
      <t>소요예산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산정서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비용편익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분석서</t>
    </r>
    <phoneticPr fontId="10" type="noConversion"/>
  </si>
  <si>
    <r>
      <rPr>
        <sz val="9"/>
        <color rgb="FF000000"/>
        <rFont val="돋움"/>
        <family val="3"/>
        <charset val="129"/>
      </rPr>
      <t>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구축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사업계획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수립</t>
    </r>
    <phoneticPr fontId="10" type="noConversion"/>
  </si>
  <si>
    <r>
      <rPr>
        <sz val="9"/>
        <color rgb="FF000000"/>
        <rFont val="돋움"/>
        <family val="3"/>
        <charset val="129"/>
      </rPr>
      <t>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구축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사업계획서</t>
    </r>
    <r>
      <rPr>
        <sz val="9"/>
        <color rgb="FF000000"/>
        <rFont val="Calibri"/>
        <family val="3"/>
        <charset val="129"/>
        <scheme val="minor"/>
      </rPr>
      <t>/</t>
    </r>
    <r>
      <rPr>
        <sz val="9"/>
        <color rgb="FF000000"/>
        <rFont val="돋움"/>
        <family val="3"/>
        <charset val="129"/>
      </rPr>
      <t>제안요청서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지원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</si>
  <si>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사업수행을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사업계획서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지원</t>
    </r>
    <r>
      <rPr>
        <sz val="9"/>
        <color theme="1"/>
        <rFont val="Calibri"/>
        <family val="2"/>
        <scheme val="minor"/>
      </rPr>
      <t xml:space="preserve">
   - ISP </t>
    </r>
    <r>
      <rPr>
        <sz val="9"/>
        <color theme="1"/>
        <rFont val="돋움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기반으로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사업계획서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사업추진의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경제적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타당성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문제점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사업추진계획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사업내용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상세요구사항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), </t>
    </r>
    <r>
      <rPr>
        <sz val="9"/>
        <color theme="1"/>
        <rFont val="돋움"/>
        <family val="2"/>
        <charset val="129"/>
      </rPr>
      <t>규모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소요예산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발주방식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평가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「소프트웨어사업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관리감독에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과학기술정보</t>
    </r>
    <r>
      <rPr>
        <sz val="9"/>
        <color theme="1"/>
        <rFont val="Calibri"/>
        <family val="2"/>
        <scheme val="minor"/>
      </rPr>
      <t xml:space="preserve">     </t>
    </r>
    <r>
      <rPr>
        <sz val="9"/>
        <color theme="1"/>
        <rFont val="돋움"/>
        <family val="2"/>
        <charset val="129"/>
      </rPr>
      <t>통신부고시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</t>
    </r>
    <r>
      <rPr>
        <sz val="9"/>
        <color theme="1"/>
        <rFont val="Calibri"/>
        <family val="2"/>
        <scheme val="minor"/>
      </rPr>
      <t>2020-93</t>
    </r>
    <r>
      <rPr>
        <sz val="9"/>
        <color theme="1"/>
        <rFont val="돋움"/>
        <family val="2"/>
        <charset val="129"/>
      </rPr>
      <t>호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」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「요구사항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실무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가이드」</t>
    </r>
    <r>
      <rPr>
        <sz val="9"/>
        <color theme="1"/>
        <rFont val="Calibri"/>
        <family val="2"/>
        <scheme val="minor"/>
      </rPr>
      <t xml:space="preserve">     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가이드라인에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예산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개념을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정의하고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요구사항을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상세화하여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사업추진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목표시스템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구체적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전략과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실행방안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상세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사업추진을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추진체계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도입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소프트웨어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분리발주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가능성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여부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반영</t>
    </r>
    <r>
      <rPr>
        <sz val="9"/>
        <color theme="1"/>
        <rFont val="Calibri"/>
        <family val="2"/>
        <scheme val="minor"/>
      </rPr>
      <t xml:space="preserve"> 
   - </t>
    </r>
    <r>
      <rPr>
        <sz val="9"/>
        <color theme="1"/>
        <rFont val="돋움"/>
        <family val="2"/>
        <charset val="129"/>
      </rPr>
      <t>기술적용계획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phoneticPr fontId="10" type="noConversion"/>
  </si>
  <si>
    <r>
      <rPr>
        <sz val="9"/>
        <color theme="1"/>
        <rFont val="돋움"/>
        <family val="2"/>
        <charset val="129"/>
      </rPr>
      <t>사업계획서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산출내역서</t>
    </r>
    <phoneticPr fontId="10" type="noConversion"/>
  </si>
  <si>
    <r>
      <rPr>
        <sz val="9"/>
        <color rgb="FF000000"/>
        <rFont val="돋움"/>
        <family val="3"/>
        <charset val="129"/>
      </rPr>
      <t>법</t>
    </r>
    <r>
      <rPr>
        <sz val="9"/>
        <color rgb="FF000000"/>
        <rFont val="Calibri"/>
        <family val="3"/>
        <charset val="129"/>
        <scheme val="minor"/>
      </rPr>
      <t>/</t>
    </r>
    <r>
      <rPr>
        <sz val="9"/>
        <color rgb="FF000000"/>
        <rFont val="돋움"/>
        <family val="3"/>
        <charset val="129"/>
      </rPr>
      <t>제도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개선안</t>
    </r>
    <phoneticPr fontId="10" type="noConversion"/>
  </si>
  <si>
    <r>
      <rPr>
        <sz val="9"/>
        <color rgb="FF000000"/>
        <rFont val="돋움"/>
        <family val="3"/>
        <charset val="129"/>
      </rPr>
      <t>디지털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식품클러스터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운영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관련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법</t>
    </r>
    <r>
      <rPr>
        <sz val="9"/>
        <color rgb="FF000000"/>
        <rFont val="Calibri"/>
        <family val="3"/>
        <charset val="129"/>
        <scheme val="minor"/>
      </rPr>
      <t>/</t>
    </r>
    <r>
      <rPr>
        <sz val="9"/>
        <color rgb="FF000000"/>
        <rFont val="돋움"/>
        <family val="3"/>
        <charset val="129"/>
      </rPr>
      <t>제도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개선안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도출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</si>
  <si>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식품클러스터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종합</t>
    </r>
    <r>
      <rPr>
        <sz val="9"/>
        <color theme="1"/>
        <rFont val="Calibri"/>
        <family val="2"/>
        <scheme val="minor"/>
      </rPr>
      <t xml:space="preserve"> 
  - </t>
    </r>
    <r>
      <rPr>
        <sz val="9"/>
        <color theme="1"/>
        <rFont val="돋움"/>
        <family val="2"/>
        <charset val="129"/>
      </rPr>
      <t>식품산업진흥법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식품산업진흥기본계획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식품산업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현행법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바탕으로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식품클러스터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개선요구사항을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종합</t>
    </r>
    <r>
      <rPr>
        <sz val="9"/>
        <color theme="1"/>
        <rFont val="Calibri"/>
        <family val="2"/>
        <scheme val="minor"/>
      </rPr>
      <t xml:space="preserve"> 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식품클러스터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정비방안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식품클러스터의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신기술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  </t>
    </r>
    <r>
      <rPr>
        <sz val="9"/>
        <color theme="1"/>
        <rFont val="돋움"/>
        <family val="2"/>
        <charset val="129"/>
      </rPr>
      <t>현행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돋움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식품클러스터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농림축산식품부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제도의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도출</t>
    </r>
    <phoneticPr fontId="10" type="noConversion"/>
  </si>
  <si>
    <r>
      <rPr>
        <sz val="9"/>
        <color theme="1"/>
        <rFont val="돋움"/>
        <family val="2"/>
        <charset val="129"/>
      </rPr>
      <t>법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개선안</t>
    </r>
    <phoneticPr fontId="10" type="noConversion"/>
  </si>
  <si>
    <t>SER-003</t>
  </si>
  <si>
    <t>SER-004</t>
  </si>
  <si>
    <r>
      <rPr>
        <sz val="9"/>
        <color rgb="FF000000"/>
        <rFont val="돋움"/>
        <family val="3"/>
        <charset val="129"/>
      </rPr>
      <t>보안관리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일반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</si>
  <si>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식품진흥원의「보안업무」관련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규정에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착수</t>
    </r>
    <r>
      <rPr>
        <sz val="9"/>
        <color theme="1"/>
        <rFont val="Calibri"/>
        <family val="2"/>
        <scheme val="minor"/>
      </rPr>
      <t>-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>-</t>
    </r>
    <r>
      <rPr>
        <sz val="9"/>
        <color theme="1"/>
        <rFont val="돋움"/>
        <family val="2"/>
        <charset val="129"/>
      </rPr>
      <t>완료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사업수행에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인원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문서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장비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보안상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결격사항이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없도록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조치하여야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문제점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즉시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해결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개인정보보호법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개인정보보호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</si>
  <si>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t>보안관리계획서</t>
    <phoneticPr fontId="10" type="noConversion"/>
  </si>
  <si>
    <r>
      <rPr>
        <sz val="9"/>
        <color rgb="FF000000"/>
        <rFont val="돋움"/>
        <family val="3"/>
        <charset val="129"/>
      </rPr>
      <t>수행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인력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보안</t>
    </r>
    <phoneticPr fontId="10" type="noConversion"/>
  </si>
  <si>
    <r>
      <rPr>
        <sz val="9"/>
        <color rgb="FF000000"/>
        <rFont val="돋움"/>
        <family val="3"/>
        <charset val="129"/>
      </rPr>
      <t>수행인력에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대한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보안관리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</si>
  <si>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보안정책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과업참여자는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보안책임자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담당자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역할을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지정하여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자료관리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보안관리계획을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시행하여야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참여인원에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투입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보안서약서를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수행사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대표는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참여인원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총괄책임을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져야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하도급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체셜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비밀유지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조치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과업수행시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「국가정보보안기본지침」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국정원</t>
    </r>
    <r>
      <rPr>
        <sz val="9"/>
        <color theme="1"/>
        <rFont val="Calibri"/>
        <family val="2"/>
        <scheme val="minor"/>
      </rPr>
      <t xml:space="preserve">), </t>
    </r>
    <r>
      <rPr>
        <sz val="9"/>
        <color theme="1"/>
        <rFont val="돋움"/>
        <family val="2"/>
        <charset val="129"/>
      </rPr>
      <t>「정보보안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기본지침」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과기부</t>
    </r>
    <r>
      <rPr>
        <sz val="9"/>
        <color theme="1"/>
        <rFont val="Calibri"/>
        <family val="2"/>
        <scheme val="minor"/>
      </rPr>
      <t xml:space="preserve">), </t>
    </r>
    <r>
      <rPr>
        <sz val="9"/>
        <color theme="1"/>
        <rFont val="돋움"/>
        <family val="2"/>
        <charset val="129"/>
      </rPr>
      <t>「개인정보보호법」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행안부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교육계획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참여인력에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정보보호교육계획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시행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사업수행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참여인원에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규정에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비밀유지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처벌내용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보안교육을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실시할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있으며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응하여야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</si>
  <si>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r>
      <rPr>
        <sz val="9"/>
        <color theme="1"/>
        <rFont val="돋움"/>
        <family val="2"/>
        <charset val="129"/>
      </rPr>
      <t>보안관리계획서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보안서약서</t>
    </r>
    <phoneticPr fontId="10" type="noConversion"/>
  </si>
  <si>
    <r>
      <rPr>
        <sz val="9"/>
        <color rgb="FF000000"/>
        <rFont val="돋움"/>
        <family val="3"/>
        <charset val="129"/>
      </rPr>
      <t>저장매체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자료보안</t>
    </r>
    <phoneticPr fontId="10" type="noConversion"/>
  </si>
  <si>
    <r>
      <rPr>
        <sz val="9"/>
        <color rgb="FF000000"/>
        <rFont val="돋움"/>
        <family val="3"/>
        <charset val="129"/>
      </rPr>
      <t>저장매체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자료에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대한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보안관리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</si>
  <si>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외부</t>
    </r>
    <r>
      <rPr>
        <sz val="9"/>
        <color theme="1"/>
        <rFont val="Calibri"/>
        <family val="2"/>
        <scheme val="minor"/>
      </rPr>
      <t>PC(</t>
    </r>
    <r>
      <rPr>
        <sz val="9"/>
        <color theme="1"/>
        <rFont val="돋움"/>
        <family val="2"/>
        <charset val="129"/>
      </rPr>
      <t>노트북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반입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원내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프로그램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보조기억장치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정보유출방지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에이전트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반드시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담당부서의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확인을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받고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사용자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보안사항을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저장매체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하드디스크</t>
    </r>
    <r>
      <rPr>
        <sz val="9"/>
        <color theme="1"/>
        <rFont val="Calibri"/>
        <family val="2"/>
        <scheme val="minor"/>
      </rPr>
      <t xml:space="preserve">, USB, </t>
    </r>
    <r>
      <rPr>
        <sz val="9"/>
        <color theme="1"/>
        <rFont val="돋움"/>
        <family val="2"/>
        <charset val="129"/>
      </rPr>
      <t>외장하드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저장매체를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장비의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완전삭제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실시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완전파쇄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처리하고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누출금지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대상정보를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요청할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대장에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인계</t>
    </r>
    <r>
      <rPr>
        <sz val="9"/>
        <color theme="1"/>
        <rFont val="Yu Gothic"/>
        <family val="2"/>
        <charset val="128"/>
      </rPr>
      <t>･</t>
    </r>
    <r>
      <rPr>
        <sz val="9"/>
        <color theme="1"/>
        <rFont val="돋움"/>
        <family val="2"/>
        <charset val="129"/>
      </rPr>
      <t>인수자가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직접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서명한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제공받아야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발주자에게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지체없이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반납하여야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생산되는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지정한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또는</t>
    </r>
    <r>
      <rPr>
        <sz val="9"/>
        <color theme="1"/>
        <rFont val="Calibri"/>
        <family val="2"/>
        <scheme val="minor"/>
      </rPr>
      <t xml:space="preserve"> PC</t>
    </r>
    <r>
      <rPr>
        <sz val="9"/>
        <color theme="1"/>
        <rFont val="돋움"/>
        <family val="2"/>
        <charset val="129"/>
      </rPr>
      <t>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저장</t>
    </r>
    <r>
      <rPr>
        <sz val="9"/>
        <color theme="1"/>
        <rFont val="Yu Gothic"/>
        <family val="2"/>
        <charset val="128"/>
      </rPr>
      <t>･</t>
    </r>
    <r>
      <rPr>
        <sz val="9"/>
        <color theme="1"/>
        <rFont val="돋움"/>
        <family val="2"/>
        <charset val="129"/>
      </rPr>
      <t>관리하여야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>, e-</t>
    </r>
    <r>
      <rPr>
        <sz val="9"/>
        <color theme="1"/>
        <rFont val="돋움"/>
        <family val="2"/>
        <charset val="129"/>
      </rPr>
      <t>메일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전송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또는</t>
    </r>
    <r>
      <rPr>
        <sz val="9"/>
        <color theme="1"/>
        <rFont val="Calibri"/>
        <family val="2"/>
        <scheme val="minor"/>
      </rPr>
      <t xml:space="preserve"> P2P(</t>
    </r>
    <r>
      <rPr>
        <sz val="9"/>
        <color theme="1"/>
        <rFont val="돋움"/>
        <family val="2"/>
        <charset val="129"/>
      </rPr>
      <t>웹하드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이용한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파일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이동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외부저장장치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이용한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파일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복사나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사진촬영을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하여서는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안됨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취득한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기밀사항과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각종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구성도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구현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통신망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유지하여야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식품진흥원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</t>
    </r>
    <r>
      <rPr>
        <sz val="9"/>
        <color theme="1"/>
        <rFont val="Calibri"/>
        <family val="2"/>
        <scheme val="minor"/>
      </rPr>
      <t>3</t>
    </r>
    <r>
      <rPr>
        <sz val="9"/>
        <color theme="1"/>
        <rFont val="돋움"/>
        <family val="2"/>
        <charset val="129"/>
      </rPr>
      <t>자에게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때에는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반드시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담당부서의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승인을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받아야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. </t>
    </r>
    <r>
      <rPr>
        <sz val="9"/>
        <color theme="1"/>
        <rFont val="돋움"/>
        <family val="2"/>
        <charset val="129"/>
      </rPr>
      <t>만약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위반하였을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책임을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져야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생산되는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기록은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보안담당관이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인가하지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비인가자에게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</t>
    </r>
    <r>
      <rPr>
        <sz val="9"/>
        <color theme="1"/>
        <rFont val="Yu Gothic"/>
        <family val="2"/>
        <charset val="128"/>
      </rPr>
      <t>･</t>
    </r>
    <r>
      <rPr>
        <sz val="9"/>
        <color theme="1"/>
        <rFont val="돋움"/>
        <family val="2"/>
        <charset val="129"/>
      </rPr>
      <t>대여</t>
    </r>
    <r>
      <rPr>
        <sz val="9"/>
        <color theme="1"/>
        <rFont val="Yu Gothic"/>
        <family val="2"/>
        <charset val="128"/>
      </rPr>
      <t>･</t>
    </r>
    <r>
      <rPr>
        <sz val="9"/>
        <color theme="1"/>
        <rFont val="돋움"/>
        <family val="2"/>
        <charset val="129"/>
      </rPr>
      <t>열람을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금지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</si>
  <si>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r>
      <rPr>
        <sz val="9"/>
        <color rgb="FF000000"/>
        <rFont val="돋움"/>
        <family val="3"/>
        <charset val="129"/>
      </rPr>
      <t>사업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종료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보안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</si>
  <si>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장비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서류와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중간</t>
    </r>
    <r>
      <rPr>
        <sz val="9"/>
        <color theme="1"/>
        <rFont val="Yu Gothic"/>
        <family val="2"/>
        <charset val="128"/>
      </rPr>
      <t>･</t>
    </r>
    <r>
      <rPr>
        <sz val="9"/>
        <color theme="1"/>
        <rFont val="돋움"/>
        <family val="2"/>
        <charset val="129"/>
      </rPr>
      <t>최종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용역과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반납하여야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복사본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별도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보관을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금지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반입한</t>
    </r>
    <r>
      <rPr>
        <sz val="9"/>
        <color theme="1"/>
        <rFont val="Calibri"/>
        <family val="2"/>
        <scheme val="minor"/>
      </rPr>
      <t xml:space="preserve"> PC</t>
    </r>
    <r>
      <rPr>
        <sz val="9"/>
        <color theme="1"/>
        <rFont val="Yu Gothic"/>
        <family val="2"/>
        <charset val="128"/>
      </rPr>
      <t>･</t>
    </r>
    <r>
      <rPr>
        <sz val="9"/>
        <color theme="1"/>
        <rFont val="돋움"/>
        <family val="2"/>
        <charset val="129"/>
      </rPr>
      <t>저장매체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전자기록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저장매체를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반출할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완전삭제를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실시하고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발주자에게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삭제조치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복사본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사업관련자료를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보유하고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않다는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확약서를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</si>
  <si>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t>보안서약서</t>
    <phoneticPr fontId="10" type="noConversion"/>
  </si>
  <si>
    <r>
      <rPr>
        <sz val="9"/>
        <color rgb="FF000000"/>
        <rFont val="돋움"/>
        <family val="3"/>
        <charset val="129"/>
      </rPr>
      <t>품질보증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관리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</si>
  <si>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위험요소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기회요소들의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관리방법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식품진흥원과의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의사소통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식품진흥원의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정보보호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해당과업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문서화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품질보증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품질보증에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책임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범위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품질보증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활동에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절차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점검방법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활동내역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시기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품질관리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검토도구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사업추진과정에서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생산되는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제반작업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일정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품질보증계획과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종류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주요내용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일정지연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품질저하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위험발생을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사전에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예방하고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대처방안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과업수행과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최신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충분히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분석하여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반영하고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발주기관의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때에는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아래에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해당하는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진행</t>
    </r>
    <phoneticPr fontId="10" type="noConversion"/>
  </si>
  <si>
    <r>
      <rPr>
        <sz val="9"/>
        <color theme="1"/>
        <rFont val="돋움"/>
        <family val="2"/>
        <charset val="129"/>
      </rPr>
      <t>품질보증계획서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관리계획서</t>
    </r>
    <phoneticPr fontId="10" type="noConversion"/>
  </si>
  <si>
    <r>
      <rPr>
        <sz val="9"/>
        <color rgb="FF000000"/>
        <rFont val="돋움"/>
        <family val="3"/>
        <charset val="129"/>
      </rPr>
      <t>산출물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결과물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품질보증</t>
    </r>
    <phoneticPr fontId="10" type="noConversion"/>
  </si>
  <si>
    <r>
      <t xml:space="preserve">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최신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국내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국제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표준기술을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수용하여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최근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이용해야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법령과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저촉되지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않도록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수행목적으로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사용한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공식자료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통계는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서면으로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근거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아래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신중히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검토하여야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ISP </t>
    </r>
    <r>
      <rPr>
        <sz val="9"/>
        <color theme="1"/>
        <rFont val="돋움"/>
        <family val="2"/>
        <charset val="129"/>
      </rPr>
      <t>방법론에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생산되는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세부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일정계획과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연계하여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종류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주요내용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제출시기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제출부수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체계적으로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이행하여야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완료보고서에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오류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미비점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즉시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응해야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식품진흥원의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응하여야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 </t>
    </r>
    <phoneticPr fontId="10" type="noConversion"/>
  </si>
  <si>
    <r>
      <rPr>
        <sz val="9"/>
        <color theme="1"/>
        <rFont val="돋움"/>
        <family val="2"/>
        <charset val="129"/>
      </rPr>
      <t>산출물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결과물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phoneticPr fontId="10" type="noConversion"/>
  </si>
  <si>
    <r>
      <rPr>
        <sz val="9"/>
        <color rgb="FF000000"/>
        <rFont val="돋움"/>
        <family val="3"/>
        <charset val="129"/>
      </rPr>
      <t>지침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돋움"/>
        <family val="3"/>
        <charset val="129"/>
      </rPr>
      <t>가이드</t>
    </r>
    <r>
      <rPr>
        <sz val="9"/>
        <color rgb="FF000000"/>
        <rFont val="Calibri"/>
        <family val="3"/>
        <charset val="129"/>
        <scheme val="minor"/>
      </rPr>
      <t xml:space="preserve">) </t>
    </r>
    <r>
      <rPr>
        <sz val="9"/>
        <color rgb="FF000000"/>
        <rFont val="돋움"/>
        <family val="3"/>
        <charset val="129"/>
      </rPr>
      <t>준수</t>
    </r>
    <phoneticPr fontId="10" type="noConversion"/>
  </si>
  <si>
    <r>
      <rPr>
        <sz val="9"/>
        <color rgb="FF000000"/>
        <rFont val="돋움"/>
        <family val="3"/>
        <charset val="129"/>
      </rPr>
      <t>지침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돋움"/>
        <family val="3"/>
        <charset val="129"/>
      </rPr>
      <t>가이드</t>
    </r>
    <r>
      <rPr>
        <sz val="9"/>
        <color rgb="FF000000"/>
        <rFont val="Calibri"/>
        <family val="3"/>
        <charset val="129"/>
        <scheme val="minor"/>
      </rPr>
      <t>)</t>
    </r>
    <phoneticPr fontId="10" type="noConversion"/>
  </si>
  <si>
    <r>
      <t xml:space="preserve">- </t>
    </r>
    <r>
      <rPr>
        <sz val="9"/>
        <color theme="1"/>
        <rFont val="돋움"/>
        <family val="2"/>
        <charset val="129"/>
      </rPr>
      <t>전자정부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전자정부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웹사이트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품질관리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장애인</t>
    </r>
    <r>
      <rPr>
        <sz val="9"/>
        <color theme="1"/>
        <rFont val="Calibri"/>
        <family val="2"/>
        <scheme val="minor"/>
      </rPr>
      <t>․</t>
    </r>
    <r>
      <rPr>
        <sz val="9"/>
        <color theme="1"/>
        <rFont val="돋움"/>
        <family val="2"/>
        <charset val="129"/>
      </rPr>
      <t>고령자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접근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이용편의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증진을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고시</t>
    </r>
    <r>
      <rPr>
        <sz val="9"/>
        <color theme="1"/>
        <rFont val="Calibri"/>
        <family val="2"/>
        <scheme val="minor"/>
      </rPr>
      <t xml:space="preserve">
  (</t>
    </r>
    <r>
      <rPr>
        <sz val="9"/>
        <color theme="1"/>
        <rFont val="돋움"/>
        <family val="2"/>
        <charset val="129"/>
      </rPr>
      <t>과학기술정보통신부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전자정부서비스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호환성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전자정부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웹사이트</t>
    </r>
    <r>
      <rPr>
        <sz val="9"/>
        <color theme="1"/>
        <rFont val="Calibri"/>
        <family val="2"/>
        <scheme val="minor"/>
      </rPr>
      <t xml:space="preserve"> UI</t>
    </r>
    <r>
      <rPr>
        <sz val="9"/>
        <color theme="1"/>
        <rFont val="Arial Unicode MS"/>
        <family val="2"/>
        <charset val="129"/>
      </rPr>
      <t>ㆍ</t>
    </r>
    <r>
      <rPr>
        <sz val="9"/>
        <color theme="1"/>
        <rFont val="Calibri"/>
        <family val="2"/>
        <scheme val="minor"/>
      </rPr>
      <t xml:space="preserve">UX </t>
    </r>
    <r>
      <rPr>
        <sz val="9"/>
        <color theme="1"/>
        <rFont val="돋움"/>
        <family val="2"/>
        <charset val="129"/>
      </rPr>
      <t>가이드라인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모바일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전자정부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한국형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콘텐츠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접근성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2.1(</t>
    </r>
    <r>
      <rPr>
        <sz val="9"/>
        <color theme="1"/>
        <rFont val="돋움"/>
        <family val="2"/>
        <charset val="129"/>
      </rPr>
      <t>한국정보통신기술협회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행정기관의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코드표준화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공공기관의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데이터베이스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공공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빅데이터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가이드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행정정보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공동이용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행정기관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공공기관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정보자원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통합기준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행정기관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공공기관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행정기관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사이트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평가기준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각종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평가기준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>)
- OWASP 10</t>
    </r>
    <r>
      <rPr>
        <sz val="9"/>
        <color theme="1"/>
        <rFont val="돋움"/>
        <family val="2"/>
        <charset val="129"/>
      </rPr>
      <t>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
- </t>
    </r>
    <r>
      <rPr>
        <sz val="9"/>
        <color theme="1"/>
        <rFont val="돋움"/>
        <family val="2"/>
        <charset val="129"/>
      </rPr>
      <t>공공기관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개인정보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노출방지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가이드라인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소프트웨어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개발보안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가이드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포털</t>
    </r>
    <r>
      <rPr>
        <sz val="9"/>
        <color theme="1"/>
        <rFont val="Calibri"/>
        <family val="2"/>
        <scheme val="minor"/>
      </rPr>
      <t xml:space="preserve"> SW(</t>
    </r>
    <r>
      <rPr>
        <sz val="9"/>
        <color theme="1"/>
        <rFont val="돋움"/>
        <family val="2"/>
        <charset val="129"/>
      </rPr>
      <t>웹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돋움"/>
        <family val="2"/>
        <charset val="129"/>
      </rPr>
      <t>개발보안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가이드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개인정보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처리단계별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보호조치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가이드라인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정보기술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아키텍처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도입</t>
    </r>
    <r>
      <rPr>
        <sz val="9"/>
        <color theme="1"/>
        <rFont val="Calibri"/>
        <family val="2"/>
        <scheme val="minor"/>
      </rPr>
      <t>․</t>
    </r>
    <r>
      <rPr>
        <sz val="9"/>
        <color theme="1"/>
        <rFont val="돋움"/>
        <family val="2"/>
        <charset val="129"/>
      </rPr>
      <t>운영지침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>․</t>
    </r>
    <r>
      <rPr>
        <sz val="9"/>
        <color theme="1"/>
        <rFont val="돋움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 
- </t>
    </r>
    <r>
      <rPr>
        <sz val="9"/>
        <color theme="1"/>
        <rFont val="돋움"/>
        <family val="2"/>
        <charset val="129"/>
      </rPr>
      <t>행정기관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>․</t>
    </r>
    <r>
      <rPr>
        <sz val="9"/>
        <color theme="1"/>
        <rFont val="돋움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클라우드컴퓨팅보안가이드라인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국가정보원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별도제공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모바일활용업무보안가이드라인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국가정보원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별도제공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용역업체보안관리가이드라인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국가정보원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별도제공</t>
    </r>
    <r>
      <rPr>
        <sz val="9"/>
        <color theme="1"/>
        <rFont val="Calibri"/>
        <family val="2"/>
        <scheme val="minor"/>
      </rPr>
      <t xml:space="preserve">)
- </t>
    </r>
    <r>
      <rPr>
        <sz val="9"/>
        <color theme="1"/>
        <rFont val="돋움"/>
        <family val="2"/>
        <charset val="129"/>
      </rPr>
      <t>사업기간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변경되거나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시행될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변경된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표준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지침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개발</t>
    </r>
    <phoneticPr fontId="10" type="noConversion"/>
  </si>
  <si>
    <r>
      <rPr>
        <sz val="9"/>
        <color theme="1"/>
        <rFont val="돋움"/>
        <family val="2"/>
        <charset val="129"/>
      </rPr>
      <t>산출물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내용</t>
    </r>
    <phoneticPr fontId="10" type="noConversion"/>
  </si>
  <si>
    <r>
      <rPr>
        <sz val="9"/>
        <color rgb="FF000000"/>
        <rFont val="돋움"/>
        <family val="3"/>
        <charset val="129"/>
      </rPr>
      <t>입찰참가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자격</t>
    </r>
    <phoneticPr fontId="10" type="noConversion"/>
  </si>
  <si>
    <r>
      <rPr>
        <sz val="9"/>
        <color rgb="FF000000"/>
        <rFont val="돋움"/>
        <family val="3"/>
        <charset val="129"/>
      </rPr>
      <t>법제도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검토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돋움"/>
        <family val="3"/>
        <charset val="129"/>
      </rPr>
      <t>입찰참가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자격</t>
    </r>
    <r>
      <rPr>
        <sz val="9"/>
        <color rgb="FF000000"/>
        <rFont val="Calibri"/>
        <family val="3"/>
        <charset val="129"/>
        <scheme val="minor"/>
      </rPr>
      <t>)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</si>
  <si>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소프트웨어사업자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컴퓨터관련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서비스사업</t>
    </r>
    <r>
      <rPr>
        <sz val="9"/>
        <color theme="1"/>
        <rFont val="Calibri"/>
        <family val="2"/>
        <scheme val="minor"/>
      </rPr>
      <t xml:space="preserve">)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󰡔</t>
    </r>
    <r>
      <rPr>
        <sz val="9"/>
        <color theme="1"/>
        <rFont val="돋움"/>
        <family val="2"/>
        <charset val="129"/>
      </rPr>
      <t>국가를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당사자로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시행령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</t>
    </r>
    <r>
      <rPr>
        <sz val="9"/>
        <color theme="1"/>
        <rFont val="Calibri"/>
        <family val="2"/>
        <scheme val="minor"/>
      </rPr>
      <t>12</t>
    </r>
    <r>
      <rPr>
        <sz val="9"/>
        <color theme="1"/>
        <rFont val="돋움"/>
        <family val="2"/>
        <charset val="129"/>
      </rPr>
      <t>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시행규칙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</t>
    </r>
    <r>
      <rPr>
        <sz val="9"/>
        <color theme="1"/>
        <rFont val="Calibri"/>
        <family val="2"/>
        <scheme val="minor"/>
      </rPr>
      <t>14</t>
    </r>
    <r>
      <rPr>
        <sz val="9"/>
        <color theme="1"/>
        <rFont val="돋움"/>
        <family val="2"/>
        <charset val="129"/>
      </rPr>
      <t>조</t>
    </r>
    <r>
      <rPr>
        <sz val="9"/>
        <color theme="1"/>
        <rFont val="Calibri"/>
        <family val="2"/>
        <scheme val="minor"/>
      </rPr>
      <t xml:space="preserve">󰡕 </t>
    </r>
    <r>
      <rPr>
        <sz val="9"/>
        <color theme="1"/>
        <rFont val="돋움"/>
        <family val="2"/>
        <charset val="129"/>
      </rPr>
      <t>규정에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입찰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참가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갖춘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업체로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입찰등록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마감일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부정당업체로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등록되어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업체</t>
    </r>
    <phoneticPr fontId="10" type="noConversion"/>
  </si>
  <si>
    <t>지식재산권</t>
    <phoneticPr fontId="10" type="noConversion"/>
  </si>
  <si>
    <r>
      <rPr>
        <sz val="9"/>
        <color rgb="FF000000"/>
        <rFont val="돋움"/>
        <family val="3"/>
        <charset val="129"/>
      </rPr>
      <t>지식재산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공동귀속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SW</t>
    </r>
    <r>
      <rPr>
        <sz val="9"/>
        <color rgb="FF000000"/>
        <rFont val="돋움"/>
        <family val="3"/>
        <charset val="129"/>
      </rPr>
      <t>산출물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반출절차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</si>
  <si>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계약목적물의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지식재산권은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공동으로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소유함을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윈칙으로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세부사항은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협의하여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결정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지식재산권의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위하여</t>
    </r>
    <r>
      <rPr>
        <sz val="9"/>
        <color theme="1"/>
        <rFont val="Calibri"/>
        <family val="2"/>
        <scheme val="minor"/>
      </rPr>
      <t xml:space="preserve"> SW</t>
    </r>
    <r>
      <rPr>
        <sz val="9"/>
        <color theme="1"/>
        <rFont val="돋움"/>
        <family val="2"/>
        <charset val="129"/>
      </rPr>
      <t>산출물의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반출을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요청할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있으며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발주기관에서는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「정보보안지침」및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제안요청서에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누출금지정보에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해당하지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SW</t>
    </r>
    <r>
      <rPr>
        <sz val="9"/>
        <color theme="1"/>
        <rFont val="돋움"/>
        <family val="2"/>
        <charset val="129"/>
      </rPr>
      <t>산출물을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제공함</t>
    </r>
    <r>
      <rPr>
        <sz val="9"/>
        <color theme="1"/>
        <rFont val="Calibri"/>
        <family val="2"/>
        <scheme val="minor"/>
      </rPr>
      <t>.(</t>
    </r>
    <r>
      <rPr>
        <sz val="9"/>
        <color theme="1"/>
        <rFont val="돋움"/>
        <family val="2"/>
        <charset val="129"/>
      </rPr>
      <t>단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아래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)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공급받은</t>
    </r>
    <r>
      <rPr>
        <sz val="9"/>
        <color theme="1"/>
        <rFont val="Calibri"/>
        <family val="2"/>
        <scheme val="minor"/>
      </rPr>
      <t xml:space="preserve"> SW</t>
    </r>
    <r>
      <rPr>
        <sz val="9"/>
        <color theme="1"/>
        <rFont val="돋움"/>
        <family val="2"/>
        <charset val="129"/>
      </rPr>
      <t>산출물에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계약서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누출금지정보로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삭제하고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확인하는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대표명의의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확약서를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반출된</t>
    </r>
    <r>
      <rPr>
        <sz val="9"/>
        <color theme="1"/>
        <rFont val="Calibri"/>
        <family val="2"/>
        <scheme val="minor"/>
      </rPr>
      <t xml:space="preserve"> SW</t>
    </r>
    <r>
      <rPr>
        <sz val="9"/>
        <color theme="1"/>
        <rFont val="돋움"/>
        <family val="2"/>
        <charset val="129"/>
      </rPr>
      <t>산출물을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</t>
    </r>
    <r>
      <rPr>
        <sz val="9"/>
        <color theme="1"/>
        <rFont val="Calibri"/>
        <family val="2"/>
        <scheme val="minor"/>
      </rPr>
      <t>3</t>
    </r>
    <r>
      <rPr>
        <sz val="9"/>
        <color theme="1"/>
        <rFont val="돋움"/>
        <family val="2"/>
        <charset val="129"/>
      </rPr>
      <t>자에게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제공하려는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반드시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발주기관으로부터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사전승인을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받아야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제공받은</t>
    </r>
    <r>
      <rPr>
        <sz val="9"/>
        <color theme="1"/>
        <rFont val="Calibri"/>
        <family val="2"/>
        <scheme val="minor"/>
      </rPr>
      <t xml:space="preserve"> SW</t>
    </r>
    <r>
      <rPr>
        <sz val="9"/>
        <color theme="1"/>
        <rFont val="돋움"/>
        <family val="2"/>
        <charset val="129"/>
      </rPr>
      <t>산출물을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무단으로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유출하거나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누출되는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누출금지정보를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삭제하지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활용하는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「국가계약법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시행령」제</t>
    </r>
    <r>
      <rPr>
        <sz val="9"/>
        <color theme="1"/>
        <rFont val="Calibri"/>
        <family val="2"/>
        <scheme val="minor"/>
      </rPr>
      <t>76</t>
    </r>
    <r>
      <rPr>
        <sz val="9"/>
        <color theme="1"/>
        <rFont val="돋움"/>
        <family val="2"/>
        <charset val="129"/>
      </rPr>
      <t>조제</t>
    </r>
    <r>
      <rPr>
        <sz val="9"/>
        <color theme="1"/>
        <rFont val="Calibri"/>
        <family val="2"/>
        <scheme val="minor"/>
      </rPr>
      <t>1</t>
    </r>
    <r>
      <rPr>
        <sz val="9"/>
        <color theme="1"/>
        <rFont val="돋움"/>
        <family val="2"/>
        <charset val="129"/>
      </rPr>
      <t>항제</t>
    </r>
    <r>
      <rPr>
        <sz val="9"/>
        <color theme="1"/>
        <rFont val="Calibri"/>
        <family val="2"/>
        <scheme val="minor"/>
      </rPr>
      <t>3</t>
    </r>
    <r>
      <rPr>
        <sz val="9"/>
        <color theme="1"/>
        <rFont val="돋움"/>
        <family val="2"/>
        <charset val="129"/>
      </rPr>
      <t>호에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입찰참가자격을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제한함</t>
    </r>
    <phoneticPr fontId="10" type="noConversion"/>
  </si>
  <si>
    <r>
      <rPr>
        <sz val="9"/>
        <color theme="1"/>
        <rFont val="돋움"/>
        <family val="2"/>
        <charset val="129"/>
      </rPr>
      <t>반출승인요청서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내역서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phoneticPr fontId="10" type="noConversion"/>
  </si>
  <si>
    <r>
      <rPr>
        <sz val="9"/>
        <color rgb="FF000000"/>
        <rFont val="돋움"/>
        <family val="3"/>
        <charset val="129"/>
      </rPr>
      <t>계약의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변경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해지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</si>
  <si>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당사자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간에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발생하는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분쟁은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상호협의에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해결하며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분쟁이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해결되지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법원은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소재지를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관할하는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법원으로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한다</t>
    </r>
    <r>
      <rPr>
        <sz val="9"/>
        <color theme="1"/>
        <rFont val="Calibri"/>
        <family val="2"/>
        <scheme val="minor"/>
      </rPr>
      <t xml:space="preserve">.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아니한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사항은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규정에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의하고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규정에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없으면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합의하여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결정한다</t>
    </r>
    <r>
      <rPr>
        <sz val="9"/>
        <color theme="1"/>
        <rFont val="Calibri"/>
        <family val="2"/>
        <scheme val="minor"/>
      </rPr>
      <t xml:space="preserve">.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쌍방은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어느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일방의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계약상의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이행을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태만히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하거나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의무를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이행함에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소정의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성과를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기대하기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곤란하다고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판단될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서면으로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있고</t>
    </r>
    <r>
      <rPr>
        <sz val="9"/>
        <color theme="1"/>
        <rFont val="Calibri"/>
        <family val="2"/>
        <scheme val="minor"/>
      </rPr>
      <t>, 2</t>
    </r>
    <r>
      <rPr>
        <sz val="9"/>
        <color theme="1"/>
        <rFont val="돋움"/>
        <family val="2"/>
        <charset val="129"/>
      </rPr>
      <t>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서면통지와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최초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서면통지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 30</t>
    </r>
    <r>
      <rPr>
        <sz val="9"/>
        <color theme="1"/>
        <rFont val="돋움"/>
        <family val="2"/>
        <charset val="129"/>
      </rPr>
      <t>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시정요구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사항이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시정되지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아니할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계약해지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해지할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있음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사업범위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변동사유가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발생하였을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있으며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산출된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금액에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낙찰률을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금액으로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반영함</t>
    </r>
    <phoneticPr fontId="10" type="noConversion"/>
  </si>
  <si>
    <r>
      <rPr>
        <sz val="9"/>
        <color theme="1"/>
        <rFont val="돋움"/>
        <family val="2"/>
        <charset val="129"/>
      </rPr>
      <t>변경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해지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요청서</t>
    </r>
    <phoneticPr fontId="10" type="noConversion"/>
  </si>
  <si>
    <r>
      <rPr>
        <sz val="9"/>
        <color rgb="FF000000"/>
        <rFont val="돋움"/>
        <family val="3"/>
        <charset val="129"/>
      </rPr>
      <t>프로젝트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일반조건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</si>
  <si>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선정된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계약체결일로부터</t>
    </r>
    <r>
      <rPr>
        <sz val="9"/>
        <color theme="1"/>
        <rFont val="Calibri"/>
        <family val="2"/>
        <scheme val="minor"/>
      </rPr>
      <t xml:space="preserve"> 10</t>
    </r>
    <r>
      <rPr>
        <sz val="9"/>
        <color theme="1"/>
        <rFont val="돋움"/>
        <family val="2"/>
        <charset val="129"/>
      </rPr>
      <t>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착수계를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검토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내용에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부합하지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7</t>
    </r>
    <r>
      <rPr>
        <sz val="9"/>
        <color theme="1"/>
        <rFont val="돋움"/>
        <family val="2"/>
        <charset val="129"/>
      </rPr>
      <t>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활동에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일정계획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의사소통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용역규정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제안요청서와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발주처의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제안요청서에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아니한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사항이라도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달성을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사항은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당사자상호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협의하여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결정할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있음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제안요청서에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항목은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최소한의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사항만을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규정하였음으로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않았거나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누락된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계약상대자는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운영상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문제가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발생하지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않도록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조치를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사업대상에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구체적으로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않은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부분도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계약금액에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변동이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없는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범위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내에서는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응함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완료되지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못하였을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경우『국가를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당사자로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법률』및『용역계약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일반조건』에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지체상금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적용</t>
    </r>
    <phoneticPr fontId="10" type="noConversion"/>
  </si>
  <si>
    <r>
      <rPr>
        <sz val="9"/>
        <color theme="1"/>
        <rFont val="돋움"/>
        <family val="2"/>
        <charset val="129"/>
      </rPr>
      <t>착수계획서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사업수행계획서</t>
    </r>
    <r>
      <rPr>
        <sz val="9"/>
        <color theme="1"/>
        <rFont val="Calibri"/>
        <family val="2"/>
        <scheme val="minor"/>
      </rPr>
      <t>,</t>
    </r>
    <phoneticPr fontId="10" type="noConversion"/>
  </si>
  <si>
    <r>
      <rPr>
        <sz val="9"/>
        <color rgb="FF000000"/>
        <rFont val="돋움"/>
        <family val="3"/>
        <charset val="129"/>
      </rPr>
      <t>수행조직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구성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업무분장</t>
    </r>
    <phoneticPr fontId="10" type="noConversion"/>
  </si>
  <si>
    <r>
      <rPr>
        <sz val="9"/>
        <color rgb="FF000000"/>
        <rFont val="돋움"/>
        <family val="3"/>
        <charset val="129"/>
      </rPr>
      <t>수행조직의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구성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참여인력의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업무분장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관리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</si>
  <si>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추진조직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인력구성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프로필과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추진일정별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투입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역할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투입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인력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투입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주관기관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없이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임의로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변경할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없음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특별한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사유가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없는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인력교체는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불가하며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불가항력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사유로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인력교체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인력교체</t>
    </r>
    <r>
      <rPr>
        <sz val="9"/>
        <color theme="1"/>
        <rFont val="Calibri"/>
        <family val="2"/>
        <scheme val="minor"/>
      </rPr>
      <t xml:space="preserve"> 1</t>
    </r>
    <r>
      <rPr>
        <sz val="9"/>
        <color theme="1"/>
        <rFont val="돋움"/>
        <family val="2"/>
        <charset val="129"/>
      </rPr>
      <t>개월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투입하고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승인을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받아야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인력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발생하는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안정화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품질저하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방지대책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수행할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업무분장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사항을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상세하게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 
   -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성공적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완수를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기술분야의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전문인력을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투입하여야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참여인력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등급을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컨소시엄의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업무분장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공동수급업체별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참여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</t>
    </r>
    <phoneticPr fontId="10" type="noConversion"/>
  </si>
  <si>
    <r>
      <rPr>
        <sz val="9"/>
        <color theme="1"/>
        <rFont val="돋움"/>
        <family val="2"/>
        <charset val="129"/>
      </rPr>
      <t>착수계획서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편성도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역할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투입인력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이력서</t>
    </r>
    <r>
      <rPr>
        <sz val="9"/>
        <color theme="1"/>
        <rFont val="Calibri"/>
        <family val="2"/>
        <scheme val="minor"/>
      </rPr>
      <t>)</t>
    </r>
    <phoneticPr fontId="10" type="noConversion"/>
  </si>
  <si>
    <r>
      <rPr>
        <sz val="9"/>
        <color rgb="FF000000"/>
        <rFont val="돋움"/>
        <family val="3"/>
        <charset val="129"/>
      </rPr>
      <t>사업수행계획서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작성</t>
    </r>
    <phoneticPr fontId="10" type="noConversion"/>
  </si>
  <si>
    <r>
      <rPr>
        <sz val="9"/>
        <color rgb="FF000000"/>
        <rFont val="돋움"/>
        <family val="3"/>
        <charset val="129"/>
      </rPr>
      <t>사업수행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사업수행계획서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작성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</si>
  <si>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선정된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체결일로부터</t>
    </r>
    <r>
      <rPr>
        <sz val="9"/>
        <color theme="1"/>
        <rFont val="Calibri"/>
        <family val="2"/>
        <scheme val="minor"/>
      </rPr>
      <t xml:space="preserve"> 10</t>
    </r>
    <r>
      <rPr>
        <sz val="9"/>
        <color theme="1"/>
        <rFont val="돋움"/>
        <family val="2"/>
        <charset val="129"/>
      </rPr>
      <t>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착수계를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제안서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과업지시서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근거로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수행하기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세부추진계획서를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 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활동에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일정계획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의사소통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제공하여야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</si>
  <si>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t>일정관리</t>
    <phoneticPr fontId="10" type="noConversion"/>
  </si>
  <si>
    <r>
      <rPr>
        <sz val="9"/>
        <color rgb="FF000000"/>
        <rFont val="돋움"/>
        <family val="3"/>
        <charset val="129"/>
      </rPr>
      <t>사업수행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일정관리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</si>
  <si>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계약일로부터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사업완료일까지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착수일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매주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매월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착수계획서에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절차에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현재의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구체적인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공정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진행사항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문제점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대안방안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보고서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주간보고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월간보고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수시보고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제출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</si>
  <si>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r>
      <rPr>
        <sz val="9"/>
        <color theme="1"/>
        <rFont val="돋움"/>
        <family val="2"/>
        <charset val="129"/>
      </rPr>
      <t>일정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성과지표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phoneticPr fontId="10" type="noConversion"/>
  </si>
  <si>
    <r>
      <rPr>
        <sz val="9"/>
        <color rgb="FF000000"/>
        <rFont val="돋움"/>
        <family val="3"/>
        <charset val="129"/>
      </rPr>
      <t>프로젝트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수행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장소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환경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</si>
  <si>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작업장소는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협의하여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결정한다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작업장소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상호협의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보안요구사항을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작업장소를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있으며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식품진흥원에서는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작업장소에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우선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검토함</t>
    </r>
    <r>
      <rPr>
        <sz val="9"/>
        <color theme="1"/>
        <rFont val="Calibri"/>
        <family val="2"/>
        <scheme val="minor"/>
      </rPr>
      <t xml:space="preserve">. </t>
    </r>
    <r>
      <rPr>
        <sz val="9"/>
        <color theme="1"/>
        <rFont val="돋움"/>
        <family val="2"/>
        <charset val="129"/>
      </rPr>
      <t>다만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식품진흥원은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작업장소가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보안요구사항을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못한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거부할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있음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원격지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사업수행에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보안사고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위험요인을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대응방안을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원격지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사업수행에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장소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구체적인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원격지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보안관리대책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시건장치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출입통제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실시하여야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사무실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중요장비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설치장소에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출입보안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개인소유</t>
    </r>
    <r>
      <rPr>
        <sz val="9"/>
        <color theme="1"/>
        <rFont val="Calibri"/>
        <family val="2"/>
        <scheme val="minor"/>
      </rPr>
      <t xml:space="preserve"> PC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보조기억장치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반입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반출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생성문서는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별도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잠금장치가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곳에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보관하며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안전한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폐기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문서의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보안등급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부여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차별화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권한관리를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것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작업자의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안전관리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재해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안전수칙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준수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교육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방지책을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강구하여야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제반조치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</t>
    </r>
    <phoneticPr fontId="10" type="noConversion"/>
  </si>
  <si>
    <r>
      <rPr>
        <sz val="9"/>
        <color theme="1"/>
        <rFont val="돋움"/>
        <family val="2"/>
        <charset val="129"/>
      </rPr>
      <t>일정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</t>
    </r>
    <phoneticPr fontId="10" type="noConversion"/>
  </si>
  <si>
    <r>
      <rPr>
        <sz val="9"/>
        <color rgb="FF000000"/>
        <rFont val="돋움"/>
        <family val="3"/>
        <charset val="129"/>
      </rPr>
      <t>산출물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관리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</si>
  <si>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과업에서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작성되어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인도하는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리포트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계획서등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모든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문서형태의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저작물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갖음</t>
    </r>
    <r>
      <rPr>
        <sz val="9"/>
        <color theme="1"/>
        <rFont val="Calibri"/>
        <family val="2"/>
        <scheme val="minor"/>
      </rPr>
      <t xml:space="preserve">. </t>
    </r>
    <r>
      <rPr>
        <sz val="9"/>
        <color theme="1"/>
        <rFont val="돋움"/>
        <family val="2"/>
        <charset val="129"/>
      </rPr>
      <t>단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수행사가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과업이전에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보유하고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있거나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과업과는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관계없이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보유하는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방법론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노하우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자료는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예외로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완료보고서에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오류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미비점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즉시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응해야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식품진흥원의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응하여야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산출물의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phoneticPr fontId="10" type="noConversion"/>
  </si>
  <si>
    <t>관리방안서</t>
    <phoneticPr fontId="10" type="noConversion"/>
  </si>
  <si>
    <r>
      <rPr>
        <sz val="9"/>
        <color rgb="FF000000"/>
        <rFont val="돋움"/>
        <family val="3"/>
        <charset val="129"/>
      </rPr>
      <t>프로젝트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방법론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제시</t>
    </r>
    <phoneticPr fontId="10" type="noConversion"/>
  </si>
  <si>
    <r>
      <rPr>
        <sz val="9"/>
        <color rgb="FF000000"/>
        <rFont val="돋움"/>
        <family val="3"/>
        <charset val="129"/>
      </rPr>
      <t>프로젝트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방법론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</si>
  <si>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관리방법론을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요구사항관리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위험관리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품질관리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일정관리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자원관리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형상관리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산출물관리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방법론을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체계적인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부문별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활동내용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산출물을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수행과정에서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발생하는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의견조정에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절차와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해결책을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빠짐없이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관리하고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각각의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컨설팅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단계별로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반영여부를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확인할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있도록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추적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.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RFP</t>
    </r>
    <r>
      <rPr>
        <sz val="9"/>
        <color theme="1"/>
        <rFont val="돋움"/>
        <family val="2"/>
        <charset val="129"/>
      </rPr>
      <t>요구사항에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RFP</t>
    </r>
    <r>
      <rPr>
        <sz val="9"/>
        <color theme="1"/>
        <rFont val="돋움"/>
        <family val="2"/>
        <charset val="129"/>
      </rPr>
      <t>요구사항추적표를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계획대비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매월문서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보고</t>
    </r>
    <phoneticPr fontId="10" type="noConversion"/>
  </si>
  <si>
    <r>
      <rPr>
        <sz val="9"/>
        <color theme="1"/>
        <rFont val="돋움"/>
        <family val="2"/>
        <charset val="129"/>
      </rPr>
      <t>사업수행계획서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영역별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수행계획서</t>
    </r>
    <r>
      <rPr>
        <sz val="9"/>
        <color theme="1"/>
        <rFont val="Calibri"/>
        <family val="2"/>
        <scheme val="minor"/>
      </rPr>
      <t>, RFP</t>
    </r>
    <r>
      <rPr>
        <sz val="9"/>
        <color theme="1"/>
        <rFont val="돋움"/>
        <family val="2"/>
        <charset val="129"/>
      </rPr>
      <t>요구사항추적표</t>
    </r>
    <phoneticPr fontId="10" type="noConversion"/>
  </si>
  <si>
    <r>
      <rPr>
        <sz val="9"/>
        <color rgb="FF000000"/>
        <rFont val="돋움"/>
        <family val="3"/>
        <charset val="129"/>
      </rPr>
      <t>위험관리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제시</t>
    </r>
    <phoneticPr fontId="10" type="noConversion"/>
  </si>
  <si>
    <t>위험관리</t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</si>
  <si>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예상되는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쟁점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미결사항에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사용자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상세화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과정에서의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리스크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각종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위험에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리스크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지속적으로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파악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관리하고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조치사항에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추적관리</t>
    </r>
    <phoneticPr fontId="10" type="noConversion"/>
  </si>
  <si>
    <t>위험관리계획서</t>
    <phoneticPr fontId="10" type="noConversion"/>
  </si>
  <si>
    <t>변경관리</t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</si>
  <si>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방침에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수행내용의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변경이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수행내용을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변경할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있으며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수행사의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실적이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당초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다른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수행범위를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재조정할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있음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방침변경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천재지변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추가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과업지시에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과업내용의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현저한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증가가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과업기간을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변경할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있음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도중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참여인원에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즉시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해당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인원을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교체하여야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계약상대자의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부득이한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사정으로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참여인원을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교체할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신</t>
    </r>
    <r>
      <rPr>
        <sz val="9"/>
        <color theme="1"/>
        <rFont val="Tahoma"/>
        <family val="2"/>
        <charset val="1"/>
      </rPr>
      <t>․</t>
    </r>
    <r>
      <rPr>
        <sz val="9"/>
        <color theme="1"/>
        <rFont val="돋움"/>
        <family val="2"/>
        <charset val="129"/>
      </rPr>
      <t>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인적사항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교체사유를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서면으로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</si>
  <si>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r>
      <rPr>
        <sz val="9"/>
        <color theme="1"/>
        <rFont val="돋움"/>
        <family val="2"/>
        <charset val="129"/>
      </rPr>
      <t>사업수행보고서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phoneticPr fontId="10" type="noConversion"/>
  </si>
  <si>
    <r>
      <rPr>
        <sz val="9"/>
        <color rgb="FF000000"/>
        <rFont val="돋움"/>
        <family val="3"/>
        <charset val="129"/>
      </rPr>
      <t>인력교체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업무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안정성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확보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</si>
  <si>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착수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투입인력은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없이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임의로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변경할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없음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진행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특별한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사유가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없는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인력교체는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원칙적으로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불가하나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불가항력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사유로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인력교체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사전에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승인을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받아야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사업에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이해도가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높은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이상의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대체인력을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투입하여</t>
    </r>
    <r>
      <rPr>
        <sz val="9"/>
        <color theme="1"/>
        <rFont val="Calibri"/>
        <family val="2"/>
        <scheme val="minor"/>
      </rPr>
      <t xml:space="preserve"> 10</t>
    </r>
    <r>
      <rPr>
        <sz val="9"/>
        <color theme="1"/>
        <rFont val="돋움"/>
        <family val="2"/>
        <charset val="129"/>
      </rPr>
      <t>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이상의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인계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인수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기간을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두어야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인력교체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발생하는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업무의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안정화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품질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저하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방지대책을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인계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돋움"/>
        <family val="2"/>
        <charset val="129"/>
      </rPr>
      <t>인수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교체인력에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인건비는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부담으로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처리하여야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투입공수에서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제외함</t>
    </r>
    <phoneticPr fontId="10" type="noConversion"/>
  </si>
  <si>
    <r>
      <rPr>
        <sz val="9"/>
        <color theme="1"/>
        <rFont val="돋움"/>
        <family val="2"/>
        <charset val="129"/>
      </rPr>
      <t>투입인력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경력증명서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재직증명서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인력변경요청서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phoneticPr fontId="10" type="noConversion"/>
  </si>
  <si>
    <r>
      <rPr>
        <sz val="9"/>
        <color rgb="FF000000"/>
        <rFont val="돋움"/>
        <family val="3"/>
        <charset val="129"/>
      </rPr>
      <t>요구사항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관리방안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제시</t>
    </r>
    <phoneticPr fontId="10" type="noConversion"/>
  </si>
  <si>
    <t>요구사항관리</t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</si>
  <si>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기능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비기능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빠짐없이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관리하고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각각의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설계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이행계획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단계의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반영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여부를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확인할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있도록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추적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</si>
  <si>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r>
      <rPr>
        <sz val="9"/>
        <color theme="1"/>
        <rFont val="돋움"/>
        <family val="2"/>
        <charset val="129"/>
      </rPr>
      <t>요구사항관리방안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추적표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포함</t>
    </r>
    <r>
      <rPr>
        <sz val="9"/>
        <color theme="1"/>
        <rFont val="Calibri"/>
        <family val="2"/>
        <scheme val="minor"/>
      </rPr>
      <t>)</t>
    </r>
    <phoneticPr fontId="10" type="noConversion"/>
  </si>
  <si>
    <r>
      <rPr>
        <sz val="9"/>
        <color rgb="FF000000"/>
        <rFont val="돋움"/>
        <family val="3"/>
        <charset val="129"/>
      </rPr>
      <t>의사소통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사업관리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상세화</t>
    </r>
    <phoneticPr fontId="10" type="noConversion"/>
  </si>
  <si>
    <r>
      <rPr>
        <sz val="9"/>
        <color rgb="FF000000"/>
        <rFont val="돋움"/>
        <family val="3"/>
        <charset val="129"/>
      </rPr>
      <t>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사업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수행에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따른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진행사항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결과에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대한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의사소통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마련</t>
    </r>
    <phoneticPr fontId="10" type="noConversion"/>
  </si>
  <si>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사업수행기간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발생하는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각종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효율적인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관리를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착수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종류는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다음과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같으며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산출물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가능</t>
    </r>
    <r>
      <rPr>
        <sz val="9"/>
        <color theme="1"/>
        <rFont val="Calibri"/>
        <family val="2"/>
        <scheme val="minor"/>
      </rPr>
      <t xml:space="preserve"> 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사업수행계획서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사업착수보고서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돋움"/>
        <family val="2"/>
        <charset val="129"/>
      </rPr>
      <t>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문서제본</t>
    </r>
    <r>
      <rPr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돋움"/>
        <family val="2"/>
        <charset val="129"/>
      </rPr>
      <t>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USB 2</t>
    </r>
    <r>
      <rPr>
        <sz val="9"/>
        <color theme="1"/>
        <rFont val="돋움"/>
        <family val="2"/>
        <charset val="129"/>
      </rPr>
      <t>개로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계약일로부터</t>
    </r>
    <r>
      <rPr>
        <sz val="9"/>
        <color theme="1"/>
        <rFont val="Calibri"/>
        <family val="2"/>
        <scheme val="minor"/>
      </rPr>
      <t xml:space="preserve"> 10</t>
    </r>
    <r>
      <rPr>
        <sz val="9"/>
        <color theme="1"/>
        <rFont val="돋움"/>
        <family val="2"/>
        <charset val="129"/>
      </rPr>
      <t>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계약서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제안서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근거로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완벽하게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수행하기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사업수행계획서를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작성하여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문서로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제출</t>
    </r>
    <r>
      <rPr>
        <sz val="9"/>
        <color theme="1"/>
        <rFont val="Yu Gothic"/>
        <family val="2"/>
        <charset val="128"/>
      </rPr>
      <t>･</t>
    </r>
    <r>
      <rPr>
        <sz val="9"/>
        <color theme="1"/>
        <rFont val="돋움"/>
        <family val="2"/>
        <charset val="129"/>
      </rPr>
      <t>승인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받아야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내용</t>
    </r>
    <r>
      <rPr>
        <sz val="9"/>
        <color theme="1"/>
        <rFont val="Calibri"/>
        <family val="2"/>
        <scheme val="minor"/>
      </rPr>
      <t xml:space="preserve">
   ․</t>
    </r>
    <r>
      <rPr>
        <sz val="9"/>
        <color theme="1"/>
        <rFont val="돋움"/>
        <family val="2"/>
        <charset val="129"/>
      </rPr>
      <t>사업목적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범위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산출물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정의서</t>
    </r>
    <r>
      <rPr>
        <sz val="9"/>
        <color theme="1"/>
        <rFont val="Calibri"/>
        <family val="2"/>
        <scheme val="minor"/>
      </rPr>
      <t xml:space="preserve">
   ․</t>
    </r>
    <r>
      <rPr>
        <sz val="9"/>
        <color theme="1"/>
        <rFont val="돋움"/>
        <family val="2"/>
        <charset val="129"/>
      </rPr>
      <t>사업추진에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사업관리와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품질관리에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방법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절차</t>
    </r>
    <r>
      <rPr>
        <sz val="9"/>
        <color theme="1"/>
        <rFont val="Calibri"/>
        <family val="2"/>
        <scheme val="minor"/>
      </rPr>
      <t xml:space="preserve">
   ․</t>
    </r>
    <r>
      <rPr>
        <sz val="9"/>
        <color theme="1"/>
        <rFont val="돋움"/>
        <family val="2"/>
        <charset val="129"/>
      </rPr>
      <t>사업추진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일정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구성현황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돋움"/>
        <family val="2"/>
        <charset val="129"/>
      </rPr>
      <t>인력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장비투입계획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</t>
    </r>
    <r>
      <rPr>
        <sz val="9"/>
        <color theme="1"/>
        <rFont val="Calibri"/>
        <family val="2"/>
        <scheme val="minor"/>
      </rPr>
      <t>)
   ․</t>
    </r>
    <r>
      <rPr>
        <sz val="9"/>
        <color theme="1"/>
        <rFont val="돋움"/>
        <family val="2"/>
        <charset val="129"/>
      </rPr>
      <t>투입인력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명단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각종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보안서약서</t>
    </r>
    <r>
      <rPr>
        <sz val="9"/>
        <color theme="1"/>
        <rFont val="Calibri"/>
        <family val="2"/>
        <scheme val="minor"/>
      </rPr>
      <t xml:space="preserve">
   ․</t>
    </r>
    <r>
      <rPr>
        <sz val="9"/>
        <color theme="1"/>
        <rFont val="돋움"/>
        <family val="2"/>
        <charset val="129"/>
      </rPr>
      <t>기타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요구사항의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보고서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 xml:space="preserve">계획
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수시보고서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식품진흥원은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원활한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추진을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비정기적인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가능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최종산출물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최종산출물을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수록한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외장형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저장매체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각</t>
    </r>
    <r>
      <rPr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돋움"/>
        <family val="2"/>
        <charset val="129"/>
      </rPr>
      <t>식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기타산출물</t>
    </r>
    <r>
      <rPr>
        <sz val="9"/>
        <color theme="1"/>
        <rFont val="Calibri"/>
        <family val="2"/>
        <scheme val="minor"/>
      </rPr>
      <t xml:space="preserve">
   - </t>
    </r>
    <r>
      <rPr>
        <sz val="9"/>
        <color theme="1"/>
        <rFont val="돋움"/>
        <family val="2"/>
        <charset val="129"/>
      </rPr>
      <t>납품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점검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품질내역서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완료보고서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기타</t>
    </r>
    <phoneticPr fontId="10" type="noConversion"/>
  </si>
  <si>
    <r>
      <rPr>
        <sz val="9"/>
        <color theme="1"/>
        <rFont val="돋움"/>
        <family val="2"/>
        <charset val="129"/>
      </rPr>
      <t>사업수행계획서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주간</t>
    </r>
    <r>
      <rPr>
        <sz val="9"/>
        <color theme="1"/>
        <rFont val="Yu Gothic"/>
        <family val="2"/>
        <charset val="128"/>
      </rPr>
      <t>･</t>
    </r>
    <r>
      <rPr>
        <sz val="9"/>
        <color theme="1"/>
        <rFont val="돋움"/>
        <family val="2"/>
        <charset val="129"/>
      </rPr>
      <t>월간보고서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완료보고서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구축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돋움"/>
        <family val="2"/>
        <charset val="129"/>
      </rPr>
      <t>점검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지침서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기타</t>
    </r>
    <phoneticPr fontId="10" type="noConversion"/>
  </si>
  <si>
    <r>
      <rPr>
        <sz val="9"/>
        <color rgb="FF000000"/>
        <rFont val="돋움"/>
        <family val="3"/>
        <charset val="129"/>
      </rPr>
      <t>관련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기술이전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지원</t>
    </r>
    <phoneticPr fontId="10" type="noConversion"/>
  </si>
  <si>
    <t>기술이전</t>
    <phoneticPr fontId="10" type="noConversion"/>
  </si>
  <si>
    <r>
      <t xml:space="preserve">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개발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분야의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정보통신기술에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지속적인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정보제공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기술자문에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응하여야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습득된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노하우를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충실하게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지원을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</si>
  <si>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r>
      <rPr>
        <sz val="9"/>
        <color theme="1"/>
        <rFont val="돋움"/>
        <family val="2"/>
        <charset val="129"/>
      </rPr>
      <t>기술지원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결과서</t>
    </r>
    <phoneticPr fontId="10" type="noConversion"/>
  </si>
  <si>
    <r>
      <rPr>
        <sz val="9"/>
        <color rgb="FF000000"/>
        <rFont val="돋움"/>
        <family val="3"/>
        <charset val="129"/>
      </rPr>
      <t>사후관리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지원</t>
    </r>
    <phoneticPr fontId="10" type="noConversion"/>
  </si>
  <si>
    <t>사후관리</t>
    <phoneticPr fontId="10" type="noConversion"/>
  </si>
  <si>
    <r>
      <t xml:space="preserve">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지속적인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발전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향상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안정성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유지를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사후관리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계획을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완료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후에도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정책변화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제안사업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예산조정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사유로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후속조치가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지원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ISP </t>
    </r>
    <r>
      <rPr>
        <sz val="9"/>
        <color theme="1"/>
        <rFont val="돋움"/>
        <family val="2"/>
        <charset val="129"/>
      </rPr>
      <t>결과물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품질에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이상이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부담으로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결과물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보완하여야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. </t>
    </r>
    <phoneticPr fontId="10" type="noConversion"/>
  </si>
  <si>
    <t>사후관리지원계획서</t>
    <phoneticPr fontId="10" type="noConversion"/>
  </si>
  <si>
    <r>
      <rPr>
        <sz val="9"/>
        <color rgb="FF000000"/>
        <rFont val="돋움"/>
        <family val="3"/>
        <charset val="129"/>
      </rPr>
      <t>교육</t>
    </r>
    <r>
      <rPr>
        <sz val="9"/>
        <color rgb="FF000000"/>
        <rFont val="Calibri"/>
        <family val="3"/>
        <charset val="129"/>
        <scheme val="minor"/>
      </rPr>
      <t>·</t>
    </r>
    <r>
      <rPr>
        <sz val="9"/>
        <color rgb="FF000000"/>
        <rFont val="돋움"/>
        <family val="3"/>
        <charset val="129"/>
      </rPr>
      <t>훈련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지원</t>
    </r>
    <phoneticPr fontId="10" type="noConversion"/>
  </si>
  <si>
    <t>교육지원</t>
    <phoneticPr fontId="10" type="noConversion"/>
  </si>
  <si>
    <r>
      <t xml:space="preserve">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정보화전략계획을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성공적으로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효과적인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능력을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갖추게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중요한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요소로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교육계획을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수립해야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구현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과정에서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각종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기술을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습득할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있도록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목적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내용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방법론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동향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교육을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실시함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설명회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교육에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따른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소요경비는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수행사가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지원하는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것을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원칙으로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하나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부득이한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협의하여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조정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가능</t>
    </r>
    <r>
      <rPr>
        <sz val="9"/>
        <color theme="1"/>
        <rFont val="Calibri"/>
        <family val="2"/>
        <scheme val="minor"/>
      </rPr>
      <t xml:space="preserve">
 </t>
    </r>
    <r>
      <rPr>
        <sz val="9"/>
        <color theme="1"/>
        <rFont val="Segoe UI Symbol"/>
        <family val="2"/>
      </rPr>
      <t>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기타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사업추진에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필요하다고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판단되어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식품진흥원에서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설명회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돋움"/>
        <family val="2"/>
        <charset val="129"/>
      </rPr>
      <t>워크숍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교육을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요구할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응하여야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돋움"/>
        <family val="2"/>
        <charset val="129"/>
      </rPr>
      <t>함</t>
    </r>
    <phoneticPr fontId="10" type="noConversion"/>
  </si>
  <si>
    <r>
      <rPr>
        <sz val="9"/>
        <color rgb="FF000000"/>
        <rFont val="돋움"/>
        <family val="3"/>
        <charset val="129"/>
      </rPr>
      <t>교육훈련계획서</t>
    </r>
    <r>
      <rPr>
        <sz val="9"/>
        <color rgb="FF000000"/>
        <rFont val="Calibri"/>
        <family val="3"/>
        <charset val="129"/>
        <scheme val="minor"/>
      </rPr>
      <t xml:space="preserve">, </t>
    </r>
    <r>
      <rPr>
        <sz val="9"/>
        <color rgb="FF000000"/>
        <rFont val="돋움"/>
        <family val="3"/>
        <charset val="129"/>
      </rPr>
      <t>교육훈련결과보고서</t>
    </r>
    <phoneticPr fontId="10" type="noConversion"/>
  </si>
  <si>
    <t>이현순 박사 양재 미팅
* 제안 방향 검토</t>
    <phoneticPr fontId="28" type="noConversion"/>
  </si>
  <si>
    <t xml:space="preserve"> 제안팀 구성 
* 제안 목차 검토
* R&amp;R 및 일정 협의
* 제안서 마스터 디자인 시안 </t>
    <phoneticPr fontId="28" type="noConversion"/>
  </si>
  <si>
    <t xml:space="preserve"> 제안 목차 구성 
* 제안요청서 내용 검토
* 제안 목차 작성</t>
    <phoneticPr fontId="28" type="noConversion"/>
  </si>
  <si>
    <t>* 1차 취합(14:00)
* 1차 리뷰</t>
    <phoneticPr fontId="29" type="noConversion"/>
  </si>
  <si>
    <t>* 2차 리뷰(14:00)
* 요약서 작성
* 발표자료 작성</t>
    <phoneticPr fontId="10" type="noConversion"/>
  </si>
  <si>
    <t>비고 / 특이사항</t>
    <phoneticPr fontId="28" type="noConversion"/>
  </si>
  <si>
    <t>- 제안요청서 53p : 제안서 표지 지정되어 있음</t>
    <phoneticPr fontId="10" type="noConversion"/>
  </si>
  <si>
    <t>Ⅰ. 일반현황</t>
    <phoneticPr fontId="10" type="noConversion"/>
  </si>
  <si>
    <t>1. 제안사 일반현황</t>
  </si>
  <si>
    <t>2. 제안사의 조직 및 업무분장</t>
    <phoneticPr fontId="10" type="noConversion"/>
  </si>
  <si>
    <t>3. 참여인력</t>
    <phoneticPr fontId="10" type="noConversion"/>
  </si>
  <si>
    <t>사업 수행조직(투입인력별 이력사항)</t>
    <phoneticPr fontId="10" type="noConversion"/>
  </si>
  <si>
    <t>Ⅱ. 전략 및 방법론</t>
    <phoneticPr fontId="10" type="noConversion"/>
  </si>
  <si>
    <t>2. 추진전략</t>
    <phoneticPr fontId="10" type="noConversion"/>
  </si>
  <si>
    <t>3. 컨설팅 방법론</t>
    <phoneticPr fontId="10" type="noConversion"/>
  </si>
  <si>
    <t>1.1 사업의 배경 및 목적</t>
  </si>
  <si>
    <t>1.2 사업의 이해</t>
  </si>
  <si>
    <t>1.3 사업 범위</t>
  </si>
  <si>
    <t>1.4 제안의 특징 및 장점</t>
  </si>
  <si>
    <t>1.5 전제조건</t>
  </si>
  <si>
    <t>1.2.1 식품 클러스터에 대한 이해</t>
    <phoneticPr fontId="10" type="noConversion"/>
  </si>
  <si>
    <t>1.2.2 진흥원 조직에 대한 이해</t>
    <phoneticPr fontId="10" type="noConversion"/>
  </si>
  <si>
    <t>1.2.3 진흥원 업무에 대한 이해</t>
    <phoneticPr fontId="10" type="noConversion"/>
  </si>
  <si>
    <t>1.2.4 진흥원 시스템에 대한 이해</t>
    <phoneticPr fontId="10" type="noConversion"/>
  </si>
  <si>
    <t>1.2.5 이슈 및 개선방향에 대한 이해</t>
    <phoneticPr fontId="10" type="noConversion"/>
  </si>
  <si>
    <t>2.1 핵심 성공요소</t>
  </si>
  <si>
    <t>전략 1 수행 역량이 검증된 사업 수행체계 구성</t>
    <phoneticPr fontId="10" type="noConversion"/>
  </si>
  <si>
    <t>전략 5 사업의 성공적 수행을 위한 추가제안</t>
    <phoneticPr fontId="10" type="noConversion"/>
  </si>
  <si>
    <t xml:space="preserve">   A1 사업 성공을 위한 컨소시엄 협력체계 구성</t>
    <phoneticPr fontId="10" type="noConversion"/>
  </si>
  <si>
    <t xml:space="preserve">   A2 사업의 특성에 맞는 분야별 전문가 투입</t>
    <phoneticPr fontId="10" type="noConversion"/>
  </si>
  <si>
    <t>정책, 클러스터 추진 목적 및 현황</t>
    <phoneticPr fontId="10" type="noConversion"/>
  </si>
  <si>
    <t xml:space="preserve">   A3 이해관계자 분석을 통한 요구사항 상세화</t>
    <phoneticPr fontId="10" type="noConversion"/>
  </si>
  <si>
    <t>전략 3 디지털식품클러스터 구축을 위한 실질적인 시스템 설계</t>
    <phoneticPr fontId="10" type="noConversion"/>
  </si>
  <si>
    <t xml:space="preserve">   A10 설문조사를 위한 전문설문기관의 RESEARCH 수행</t>
    <phoneticPr fontId="10" type="noConversion"/>
  </si>
  <si>
    <t xml:space="preserve">   A11 이해관계자 공감대 형성을 위한 워크샵 지원</t>
    <phoneticPr fontId="10" type="noConversion"/>
  </si>
  <si>
    <t xml:space="preserve">   A12 데이터 품질진단 도구 제공 및 진단</t>
    <phoneticPr fontId="10" type="noConversion"/>
  </si>
  <si>
    <t>Ⅳ. 성능 및 품질</t>
    <phoneticPr fontId="10" type="noConversion"/>
  </si>
  <si>
    <t>1. 품질 요구사항</t>
    <phoneticPr fontId="10" type="noConversion"/>
  </si>
  <si>
    <t>Ⅲ. 기술 및 기능</t>
    <phoneticPr fontId="10" type="noConversion"/>
  </si>
  <si>
    <t>1.1 품질관리 이행 전략</t>
  </si>
  <si>
    <t>1.2 품질관리 조직 및 역할</t>
  </si>
  <si>
    <t>1.3 품질관리 활동 방안</t>
  </si>
  <si>
    <t>1.4 품질관리체계</t>
  </si>
  <si>
    <t>1.5 리스크 관리 방안</t>
  </si>
  <si>
    <t>2. 일정계획</t>
    <phoneticPr fontId="10" type="noConversion"/>
  </si>
  <si>
    <t>1. 품질보증</t>
    <phoneticPr fontId="10" type="noConversion"/>
  </si>
  <si>
    <t>3. 기밀보안</t>
    <phoneticPr fontId="10" type="noConversion"/>
  </si>
  <si>
    <t>2. 교육훈련</t>
    <phoneticPr fontId="10" type="noConversion"/>
  </si>
  <si>
    <t>4. 비상대책</t>
    <phoneticPr fontId="10" type="noConversion"/>
  </si>
  <si>
    <t>경기도일자리재단 제안서에 RESEARCH 방안 있음</t>
    <phoneticPr fontId="10" type="noConversion"/>
  </si>
  <si>
    <t>사회보장제도 등 확인</t>
    <phoneticPr fontId="10" type="noConversion"/>
  </si>
  <si>
    <t>2.1 교육훈련 개요</t>
  </si>
  <si>
    <t>2.2 교육훈련 조직</t>
  </si>
  <si>
    <t>2.3 교육훈련 절차</t>
  </si>
  <si>
    <t>2.4 교육훈련 수행방안</t>
  </si>
  <si>
    <t>4.1 비상대책 개요</t>
  </si>
  <si>
    <t>4.2 비상대책 조직</t>
  </si>
  <si>
    <t>4.3 비상대책 절차</t>
  </si>
  <si>
    <t>4.4 침해사고 대응방안</t>
  </si>
  <si>
    <t>3.1 기밀보안 개요</t>
    <phoneticPr fontId="10" type="noConversion"/>
  </si>
  <si>
    <t>3.2 보안관리 체계 수립</t>
    <phoneticPr fontId="10" type="noConversion"/>
  </si>
  <si>
    <t>3.3 영역별 보안관리 방안</t>
    <phoneticPr fontId="10" type="noConversion"/>
  </si>
  <si>
    <t>3.4 개인정보 보호</t>
    <phoneticPr fontId="10" type="noConversion"/>
  </si>
  <si>
    <t>5.1 기술지원 개요</t>
  </si>
  <si>
    <t>5.2 기술지원 절차 및 방법</t>
  </si>
  <si>
    <t>5.3 기술지원 내용</t>
  </si>
  <si>
    <t>6. 인수인계</t>
    <phoneticPr fontId="10" type="noConversion"/>
  </si>
  <si>
    <t>7. 하자보수</t>
    <phoneticPr fontId="10" type="noConversion"/>
  </si>
  <si>
    <t>7.1 하자보수 계획</t>
    <phoneticPr fontId="10" type="noConversion"/>
  </si>
  <si>
    <t>7.2 하자보수 내용 및 조직</t>
    <phoneticPr fontId="10" type="noConversion"/>
  </si>
  <si>
    <t>6.1 인수인계 계획</t>
    <phoneticPr fontId="10" type="noConversion"/>
  </si>
  <si>
    <t>6.2 인수인계 절차 및 내용</t>
    <phoneticPr fontId="10" type="noConversion"/>
  </si>
  <si>
    <t>5. 기술지원</t>
    <phoneticPr fontId="10" type="noConversion"/>
  </si>
  <si>
    <t>인수인계 5점</t>
    <phoneticPr fontId="10" type="noConversion"/>
  </si>
  <si>
    <t>교육훈련 5점</t>
    <phoneticPr fontId="10" type="noConversion"/>
  </si>
  <si>
    <t>제안서 목차</t>
    <phoneticPr fontId="10" type="noConversion"/>
  </si>
  <si>
    <t>기술지원 5점</t>
    <phoneticPr fontId="10" type="noConversion"/>
  </si>
  <si>
    <t>품질관리 5점</t>
    <phoneticPr fontId="10" type="noConversion"/>
  </si>
  <si>
    <t>기밀보안 3점</t>
    <phoneticPr fontId="10" type="noConversion"/>
  </si>
  <si>
    <t>위험 및 이슈관리 3점</t>
    <phoneticPr fontId="10" type="noConversion"/>
  </si>
  <si>
    <t>정량평가-경영상태 5점</t>
    <phoneticPr fontId="10" type="noConversion"/>
  </si>
  <si>
    <t>2. 추가 제안사항</t>
    <phoneticPr fontId="10" type="noConversion"/>
  </si>
  <si>
    <t>1. 하도급</t>
    <phoneticPr fontId="10" type="noConversion"/>
  </si>
  <si>
    <t>하도급 5점</t>
    <phoneticPr fontId="10" type="noConversion"/>
  </si>
  <si>
    <t>해당사항 없음 크게 표시</t>
    <phoneticPr fontId="10" type="noConversion"/>
  </si>
  <si>
    <t>2.1 설문조사를 위한 전문설문기관의 RESEARCH 수행</t>
    <phoneticPr fontId="10" type="noConversion"/>
  </si>
  <si>
    <t>2.2 이해관계자 공감대 형성을 위한 워크샵 지원</t>
    <phoneticPr fontId="10" type="noConversion"/>
  </si>
  <si>
    <t>2.3 데이터 품질진단 도구 제공 및 진단</t>
    <phoneticPr fontId="10" type="noConversion"/>
  </si>
  <si>
    <t>사업이해도 10점</t>
    <phoneticPr fontId="10" type="noConversion"/>
  </si>
  <si>
    <t>추진전략 5점</t>
    <phoneticPr fontId="10" type="noConversion"/>
  </si>
  <si>
    <t>사업추진방법론 5점</t>
    <phoneticPr fontId="10" type="noConversion"/>
  </si>
  <si>
    <t>컨설팅 분석 10점</t>
    <phoneticPr fontId="10" type="noConversion"/>
  </si>
  <si>
    <t>컨설팅 목표수립 10점</t>
    <phoneticPr fontId="10" type="noConversion"/>
  </si>
  <si>
    <t>타당성 분석방안 5점</t>
    <phoneticPr fontId="10" type="noConversion"/>
  </si>
  <si>
    <t>1.4.6 ISP최종산출물 검토</t>
    <phoneticPr fontId="10" type="noConversion"/>
  </si>
  <si>
    <t>1. 컨설팅 요구사항</t>
    <phoneticPr fontId="10" type="noConversion"/>
  </si>
  <si>
    <t>2. 제약사항</t>
    <phoneticPr fontId="10" type="noConversion"/>
  </si>
  <si>
    <t>제약사항 5점</t>
    <phoneticPr fontId="10" type="noConversion"/>
  </si>
  <si>
    <t>일정관리 4점</t>
    <phoneticPr fontId="10" type="noConversion"/>
  </si>
  <si>
    <t xml:space="preserve">   A9 빅데이터 분석 설계</t>
    <phoneticPr fontId="10" type="noConversion"/>
  </si>
  <si>
    <t xml:space="preserve">   A7 포털 통합방안 설계</t>
    <phoneticPr fontId="10" type="noConversion"/>
  </si>
  <si>
    <t xml:space="preserve">   A8 관련 플랫폼 연계 설계</t>
    <phoneticPr fontId="10" type="noConversion"/>
  </si>
  <si>
    <t xml:space="preserve">   A6 진흥원 업무 재설계</t>
    <phoneticPr fontId="10" type="noConversion"/>
  </si>
  <si>
    <t>조직 목표, 경영전략, 조직 및 업무분장</t>
    <phoneticPr fontId="10" type="noConversion"/>
  </si>
  <si>
    <t>구분</t>
    <phoneticPr fontId="10" type="noConversion"/>
  </si>
  <si>
    <t>목차</t>
    <phoneticPr fontId="10" type="noConversion"/>
  </si>
  <si>
    <t>이재원</t>
    <phoneticPr fontId="10" type="noConversion"/>
  </si>
  <si>
    <t>빅데이터 분석 포함</t>
    <phoneticPr fontId="10" type="noConversion"/>
  </si>
  <si>
    <t>2. 산출물 요구사항</t>
    <phoneticPr fontId="10" type="noConversion"/>
  </si>
  <si>
    <t>2.1</t>
    <phoneticPr fontId="10" type="noConversion"/>
  </si>
  <si>
    <t>2.2</t>
    <phoneticPr fontId="10" type="noConversion"/>
  </si>
  <si>
    <t>2.3</t>
    <phoneticPr fontId="10" type="noConversion"/>
  </si>
  <si>
    <t>2.4</t>
    <phoneticPr fontId="10" type="noConversion"/>
  </si>
  <si>
    <r>
      <rPr>
        <sz val="9"/>
        <color rgb="FF000000"/>
        <rFont val="맑은 고딕"/>
        <family val="3"/>
        <charset val="129"/>
      </rPr>
      <t>컨설팅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 xml:space="preserve">요구사항
</t>
    </r>
    <r>
      <rPr>
        <sz val="9"/>
        <color rgb="FF000000"/>
        <rFont val="Calibri"/>
        <family val="2"/>
        <scheme val="minor"/>
      </rPr>
      <t>(CSR)</t>
    </r>
    <phoneticPr fontId="10" type="noConversion"/>
  </si>
  <si>
    <r>
      <rPr>
        <sz val="9"/>
        <color rgb="FF000000"/>
        <rFont val="맑은 고딕"/>
        <family val="3"/>
        <charset val="129"/>
      </rPr>
      <t>보안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요구사항</t>
    </r>
    <r>
      <rPr>
        <sz val="9"/>
        <color rgb="FF000000"/>
        <rFont val="Calibri"/>
        <family val="3"/>
        <charset val="129"/>
        <scheme val="minor"/>
      </rPr>
      <t xml:space="preserve">
(SER)</t>
    </r>
    <phoneticPr fontId="10" type="noConversion"/>
  </si>
  <si>
    <r>
      <rPr>
        <sz val="9"/>
        <color rgb="FF000000"/>
        <rFont val="Arial Unicode MS"/>
        <family val="2"/>
        <charset val="129"/>
      </rPr>
      <t>품질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 xml:space="preserve">요구사항
</t>
    </r>
    <r>
      <rPr>
        <sz val="9"/>
        <color rgb="FF000000"/>
        <rFont val="Calibri"/>
        <family val="2"/>
        <scheme val="minor"/>
      </rPr>
      <t>(QUR)</t>
    </r>
    <phoneticPr fontId="10" type="noConversion"/>
  </si>
  <si>
    <t>전략 2. 핵심추진목표에 대한 맞춤형 사업 수행</t>
    <phoneticPr fontId="10" type="noConversion"/>
  </si>
  <si>
    <t xml:space="preserve">   A4 정책과 트렌드를 고려한 최신 지능정보기술 적용</t>
    <phoneticPr fontId="10" type="noConversion"/>
  </si>
  <si>
    <t xml:space="preserve">   A5 클러스터 서비스 발굴 등의 발전방향 연구??</t>
    <phoneticPr fontId="10" type="noConversion"/>
  </si>
  <si>
    <t>2.1 수행조직</t>
    <phoneticPr fontId="10" type="noConversion"/>
  </si>
  <si>
    <t>2.2 투입계획 및 업무분장</t>
    <phoneticPr fontId="10" type="noConversion"/>
  </si>
  <si>
    <t>1.1 현황 및 연혁</t>
    <phoneticPr fontId="10" type="noConversion"/>
  </si>
  <si>
    <t>1.2 경영상태</t>
    <phoneticPr fontId="10" type="noConversion"/>
  </si>
  <si>
    <t>1.3 조직 및 인원</t>
    <phoneticPr fontId="10" type="noConversion"/>
  </si>
  <si>
    <t>1.4 주요 사업내용</t>
    <phoneticPr fontId="10" type="noConversion"/>
  </si>
  <si>
    <t>1.5 사업 수행실적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</si>
</sst>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&quot;월&quot;\ d&quot;일&quot;;@"/>
    <numFmt numFmtId="177" formatCode="0_);[Red]\(0\)"/>
  </numFmts>
  <fonts count="46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b/>
      <sz val="14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FF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9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2"/>
      <color rgb="FF000000"/>
      <name val="Calibri"/>
      <family val="3"/>
      <charset val="129"/>
      <scheme val="minor"/>
    </font>
    <font>
      <b/>
      <sz val="12"/>
      <color rgb="FF000000"/>
      <name val="한양중고딕"/>
      <family val="3"/>
      <charset val="129"/>
    </font>
    <font>
      <sz val="9"/>
      <color rgb="FF000000"/>
      <name val="Calibri"/>
      <family val="3"/>
      <charset val="129"/>
      <scheme val="minor"/>
    </font>
    <font>
      <sz val="9"/>
      <color rgb="FF000000"/>
      <name val="한양중고딕"/>
      <family val="3"/>
      <charset val="129"/>
    </font>
    <font>
      <sz val="9"/>
      <color theme="1"/>
      <name val="Calibri"/>
      <family val="2"/>
      <scheme val="minor"/>
    </font>
    <font>
      <sz val="9"/>
      <color theme="1"/>
      <name val="Tahoma"/>
      <family val="2"/>
      <charset val="1"/>
    </font>
    <font>
      <sz val="9"/>
      <color rgb="FF000000"/>
      <name val="맑은 고딕"/>
      <family val="3"/>
      <charset val="129"/>
    </font>
    <font>
      <sz val="9"/>
      <name val="돋움"/>
      <family val="3"/>
      <charset val="129"/>
    </font>
    <font>
      <sz val="20"/>
      <name val="HY헤드라인M"/>
      <family val="1"/>
      <charset val="129"/>
    </font>
    <font>
      <sz val="8"/>
      <name val="돋움"/>
      <family val="3"/>
      <charset val="129"/>
    </font>
    <font>
      <b/>
      <sz val="12"/>
      <name val="나눔고딕"/>
      <family val="3"/>
      <charset val="129"/>
    </font>
    <font>
      <b/>
      <sz val="9"/>
      <color rgb="FFFF0000"/>
      <name val="돋움"/>
      <family val="3"/>
      <charset val="129"/>
    </font>
    <font>
      <sz val="12"/>
      <name val="HY헤드라인M"/>
      <family val="1"/>
      <charset val="129"/>
    </font>
    <font>
      <b/>
      <sz val="10"/>
      <name val="나눔고딕"/>
      <family val="3"/>
      <charset val="129"/>
    </font>
    <font>
      <b/>
      <sz val="10"/>
      <color indexed="11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sz val="8"/>
      <name val="맑은 고딕"/>
      <family val="3"/>
      <charset val="129"/>
    </font>
    <font>
      <sz val="8"/>
      <name val="Calibri"/>
      <family val="2"/>
      <charset val="129"/>
      <scheme val="minor"/>
    </font>
    <font>
      <sz val="12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theme="1"/>
      <name val="Calibri"/>
      <family val="3"/>
      <charset val="129"/>
      <scheme val="minor"/>
    </font>
    <font>
      <sz val="9"/>
      <color theme="1"/>
      <name val="Segoe UI Symbol"/>
      <family val="2"/>
    </font>
    <font>
      <sz val="9"/>
      <color theme="1"/>
      <name val="돋움"/>
      <family val="2"/>
      <charset val="129"/>
    </font>
    <font>
      <sz val="9"/>
      <color theme="1"/>
      <name val="돋움"/>
      <family val="3"/>
      <charset val="129"/>
    </font>
    <font>
      <sz val="9"/>
      <color theme="1"/>
      <name val="Calibri"/>
      <family val="2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Yu Gothic"/>
      <family val="2"/>
      <charset val="128"/>
    </font>
    <font>
      <sz val="9"/>
      <color theme="1"/>
      <name val="Arial Unicode MS"/>
      <family val="2"/>
      <charset val="129"/>
    </font>
    <font>
      <sz val="9"/>
      <name val="Malgun Gothic"/>
      <family val="3"/>
      <charset val="129"/>
    </font>
    <font>
      <sz val="9"/>
      <color rgb="FF000000"/>
      <name val="Calibri"/>
      <family val="2"/>
      <scheme val="minor"/>
    </font>
    <font>
      <sz val="9"/>
      <color rgb="FF000000"/>
      <name val="Arial Unicode MS"/>
      <family val="2"/>
      <charset val="129"/>
    </font>
    <font>
      <sz val="9"/>
      <color rgb="FF000000"/>
      <name val="Calibri"/>
      <family val="2"/>
      <charset val="129"/>
      <scheme val="minor"/>
    </font>
    <font>
      <sz val="14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0">
    <border>
      <left/>
      <right/>
      <top/>
      <bottom/>
      <diagonal/>
    </border>
    <border>
      <left/>
      <right/>
      <top style="medium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/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/>
      <right style="thin">
        <color theme="1"/>
      </right>
      <top style="thin">
        <color rgb="FFBFBFBF"/>
      </top>
      <bottom style="double">
        <color rgb="FF000000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000000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double">
        <color rgb="FF000000"/>
      </bottom>
      <diagonal/>
    </border>
    <border>
      <left/>
      <right style="medium">
        <color rgb="FF000000"/>
      </right>
      <top style="thin">
        <color rgb="FFBFBFBF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BFBFBF"/>
      </bottom>
      <diagonal/>
    </border>
    <border>
      <left/>
      <right style="thin">
        <color theme="1"/>
      </right>
      <top style="double">
        <color rgb="FF000000"/>
      </top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double">
        <color rgb="FF000000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double">
        <color rgb="FF000000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double">
        <color rgb="FF000000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BFBFBF"/>
      </bottom>
      <diagonal/>
    </border>
    <border>
      <left/>
      <right style="medium">
        <color rgb="FF000000"/>
      </right>
      <top style="double">
        <color rgb="FF000000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 style="medium">
        <color rgb="FF000000"/>
      </right>
      <top style="thin">
        <color rgb="FFBFBFBF"/>
      </top>
      <bottom/>
      <diagonal/>
    </border>
    <border>
      <left/>
      <right style="thin">
        <color theme="1"/>
      </right>
      <top style="thin">
        <color rgb="FFBFBFBF"/>
      </top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hair">
        <color rgb="FFBFBFBF"/>
      </bottom>
      <diagonal/>
    </border>
    <border>
      <left/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theme="1"/>
      </right>
      <top/>
      <bottom style="hair">
        <color rgb="FFBFBFBF"/>
      </bottom>
      <diagonal/>
    </border>
    <border>
      <left style="thin">
        <color rgb="FFBFBFBF"/>
      </left>
      <right style="thin">
        <color rgb="FFBFBFBF"/>
      </right>
      <top/>
      <bottom style="hair">
        <color rgb="FFBFBFBF"/>
      </bottom>
      <diagonal/>
    </border>
    <border>
      <left style="thin">
        <color rgb="FFBFBFBF"/>
      </left>
      <right style="thin">
        <color theme="1"/>
      </right>
      <top/>
      <bottom style="hair">
        <color rgb="FFBFBFBF"/>
      </bottom>
      <diagonal/>
    </border>
    <border>
      <left style="thin">
        <color rgb="FF000000"/>
      </left>
      <right style="thin">
        <color rgb="FF000000"/>
      </right>
      <top/>
      <bottom style="hair">
        <color rgb="FFBFBFBF"/>
      </bottom>
      <diagonal/>
    </border>
    <border>
      <left/>
      <right style="medium">
        <color rgb="FF000000"/>
      </right>
      <top/>
      <bottom style="hair">
        <color rgb="FFBFBFBF"/>
      </bottom>
      <diagonal/>
    </border>
    <border>
      <left style="thin">
        <color theme="1"/>
      </left>
      <right style="thin">
        <color rgb="FFBFBFBF"/>
      </right>
      <top/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theme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hair">
        <color rgb="FFBFBFBF"/>
      </top>
      <bottom style="hair">
        <color rgb="FFBFBFBF"/>
      </bottom>
      <diagonal/>
    </border>
    <border>
      <left/>
      <right style="medium">
        <color rgb="FF000000"/>
      </right>
      <top style="hair">
        <color rgb="FFBFBFBF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medium">
        <color rgb="FF000000"/>
      </right>
      <top style="hair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/>
      <right style="thin">
        <color theme="1"/>
      </right>
      <top style="thin">
        <color rgb="FF000000"/>
      </top>
      <bottom style="thin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/>
      <bottom style="hair">
        <color rgb="FFBFBFBF"/>
      </bottom>
      <diagonal/>
    </border>
    <border>
      <left style="thin">
        <color rgb="FFBFBFBF"/>
      </left>
      <right style="thin">
        <color theme="1"/>
      </right>
      <top/>
      <bottom style="hair">
        <color rgb="FFBFBFBF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BFBFBF"/>
      </bottom>
      <diagonal/>
    </border>
    <border>
      <left style="thin">
        <color rgb="FF000000"/>
      </left>
      <right style="thin">
        <color rgb="FF000000"/>
      </right>
      <top/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hair">
        <color rgb="FFBFBFBF"/>
      </top>
      <bottom style="hair">
        <color rgb="FFBFBFB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BFBFBF"/>
      </bottom>
      <diagonal/>
    </border>
    <border>
      <left/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hair">
        <color rgb="FFBFBFBF"/>
      </top>
      <bottom/>
      <diagonal/>
    </border>
    <border>
      <left/>
      <right style="thin">
        <color theme="1"/>
      </right>
      <top style="hair">
        <color rgb="FFBFBFBF"/>
      </top>
      <bottom/>
      <diagonal/>
    </border>
    <border>
      <left style="thin">
        <color theme="1"/>
      </left>
      <right style="thin">
        <color rgb="FFBFBFBF"/>
      </right>
      <top style="hair">
        <color rgb="FFBFBFBF"/>
      </top>
      <bottom/>
      <diagonal/>
    </border>
    <border>
      <left style="thin">
        <color rgb="FFBFBFBF"/>
      </left>
      <right style="thin">
        <color theme="1"/>
      </right>
      <top style="hair">
        <color rgb="FFBFBFBF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 style="thin">
        <color theme="1"/>
      </left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theme="1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BFBFB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 style="hair">
        <color rgb="FFBFBFBF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BFBFBF"/>
      </bottom>
      <diagonal/>
    </border>
    <border>
      <left/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</borders>
  <cellStyleXfs count="6">
    <xf numFmtId="0" fontId="0" fillId="0" borderId="0"/>
    <xf numFmtId="0" fontId="8" fillId="0" borderId="67"/>
    <xf numFmtId="0" fontId="19" fillId="0" borderId="67">
      <alignment vertical="center"/>
    </xf>
    <xf numFmtId="0" fontId="31" fillId="0" borderId="67">
      <alignment vertical="center"/>
    </xf>
    <xf numFmtId="41" fontId="8" fillId="0" borderId="67" applyFont="0" applyFill="0" applyBorder="0" applyAlignment="0" applyProtection="0">
      <alignment vertical="center"/>
    </xf>
    <xf numFmtId="41" fontId="1" fillId="0" borderId="67" applyFont="0" applyFill="0" applyBorder="0" applyAlignment="0" applyProtection="0">
      <alignment vertical="center"/>
    </xf>
  </cellStyleXfs>
  <cellXfs count="20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49" fontId="3" fillId="3" borderId="14" xfId="0" applyNumberFormat="1" applyFont="1" applyFill="1" applyBorder="1" applyAlignment="1">
      <alignment vertical="center"/>
    </xf>
    <xf numFmtId="49" fontId="3" fillId="3" borderId="15" xfId="0" applyNumberFormat="1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49" fontId="3" fillId="0" borderId="22" xfId="0" applyNumberFormat="1" applyFont="1" applyBorder="1" applyAlignment="1">
      <alignment vertical="center"/>
    </xf>
    <xf numFmtId="49" fontId="3" fillId="0" borderId="23" xfId="0" applyNumberFormat="1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49" fontId="3" fillId="0" borderId="29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49" fontId="3" fillId="0" borderId="35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 wrapText="1"/>
    </xf>
    <xf numFmtId="0" fontId="4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3" borderId="38" xfId="0" applyFont="1" applyFill="1" applyBorder="1" applyAlignment="1">
      <alignment vertical="center"/>
    </xf>
    <xf numFmtId="0" fontId="3" fillId="3" borderId="39" xfId="0" applyFont="1" applyFill="1" applyBorder="1" applyAlignment="1">
      <alignment vertical="center"/>
    </xf>
    <xf numFmtId="49" fontId="3" fillId="3" borderId="40" xfId="0" applyNumberFormat="1" applyFont="1" applyFill="1" applyBorder="1" applyAlignment="1">
      <alignment vertical="center"/>
    </xf>
    <xf numFmtId="49" fontId="3" fillId="3" borderId="41" xfId="0" applyNumberFormat="1" applyFont="1" applyFill="1" applyBorder="1" applyAlignment="1">
      <alignment vertical="center" wrapText="1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49" fontId="3" fillId="0" borderId="23" xfId="0" applyNumberFormat="1" applyFont="1" applyBorder="1" applyAlignment="1">
      <alignment vertical="center" wrapText="1"/>
    </xf>
    <xf numFmtId="0" fontId="3" fillId="0" borderId="45" xfId="0" applyFont="1" applyBorder="1" applyAlignment="1">
      <alignment vertical="center"/>
    </xf>
    <xf numFmtId="49" fontId="3" fillId="0" borderId="46" xfId="0" applyNumberFormat="1" applyFont="1" applyBorder="1" applyAlignment="1">
      <alignment vertical="center" wrapText="1"/>
    </xf>
    <xf numFmtId="0" fontId="3" fillId="0" borderId="47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4" fillId="4" borderId="44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vertical="center" wrapText="1"/>
    </xf>
    <xf numFmtId="0" fontId="4" fillId="2" borderId="52" xfId="0" applyFont="1" applyFill="1" applyBorder="1" applyAlignment="1">
      <alignment vertical="center"/>
    </xf>
    <xf numFmtId="0" fontId="3" fillId="2" borderId="53" xfId="0" applyFont="1" applyFill="1" applyBorder="1" applyAlignment="1">
      <alignment vertical="center"/>
    </xf>
    <xf numFmtId="0" fontId="3" fillId="3" borderId="54" xfId="0" applyFont="1" applyFill="1" applyBorder="1" applyAlignment="1">
      <alignment vertical="center"/>
    </xf>
    <xf numFmtId="0" fontId="3" fillId="3" borderId="55" xfId="0" applyFont="1" applyFill="1" applyBorder="1" applyAlignment="1">
      <alignment vertical="center"/>
    </xf>
    <xf numFmtId="49" fontId="3" fillId="3" borderId="56" xfId="0" applyNumberFormat="1" applyFont="1" applyFill="1" applyBorder="1" applyAlignment="1">
      <alignment vertical="center"/>
    </xf>
    <xf numFmtId="49" fontId="3" fillId="3" borderId="57" xfId="0" applyNumberFormat="1" applyFont="1" applyFill="1" applyBorder="1" applyAlignment="1">
      <alignment vertical="center" wrapText="1"/>
    </xf>
    <xf numFmtId="0" fontId="3" fillId="3" borderId="58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vertical="center"/>
    </xf>
    <xf numFmtId="0" fontId="3" fillId="0" borderId="60" xfId="0" applyFont="1" applyBorder="1" applyAlignment="1">
      <alignment vertical="center"/>
    </xf>
    <xf numFmtId="0" fontId="3" fillId="0" borderId="48" xfId="0" applyFont="1" applyBorder="1" applyAlignment="1">
      <alignment horizontal="center" vertical="center"/>
    </xf>
    <xf numFmtId="0" fontId="7" fillId="0" borderId="63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3" fillId="0" borderId="47" xfId="0" applyFont="1" applyBorder="1" applyAlignment="1">
      <alignment vertical="center" wrapText="1"/>
    </xf>
    <xf numFmtId="0" fontId="4" fillId="2" borderId="69" xfId="0" applyFont="1" applyFill="1" applyBorder="1" applyAlignment="1">
      <alignment vertical="center"/>
    </xf>
    <xf numFmtId="0" fontId="3" fillId="0" borderId="32" xfId="0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0" fontId="3" fillId="0" borderId="72" xfId="0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49" fontId="3" fillId="0" borderId="74" xfId="0" applyNumberFormat="1" applyFont="1" applyBorder="1" applyAlignment="1">
      <alignment vertical="center" wrapText="1"/>
    </xf>
    <xf numFmtId="0" fontId="4" fillId="0" borderId="75" xfId="0" applyFont="1" applyBorder="1" applyAlignment="1">
      <alignment vertical="center"/>
    </xf>
    <xf numFmtId="0" fontId="3" fillId="0" borderId="76" xfId="0" applyFont="1" applyBorder="1" applyAlignment="1">
      <alignment vertical="center"/>
    </xf>
    <xf numFmtId="0" fontId="3" fillId="0" borderId="77" xfId="0" applyFont="1" applyBorder="1" applyAlignment="1">
      <alignment vertical="center"/>
    </xf>
    <xf numFmtId="0" fontId="3" fillId="0" borderId="78" xfId="0" applyFont="1" applyBorder="1" applyAlignment="1">
      <alignment vertical="center"/>
    </xf>
    <xf numFmtId="49" fontId="3" fillId="0" borderId="79" xfId="0" applyNumberFormat="1" applyFont="1" applyBorder="1" applyAlignment="1">
      <alignment vertical="center"/>
    </xf>
    <xf numFmtId="49" fontId="3" fillId="0" borderId="80" xfId="0" applyNumberFormat="1" applyFont="1" applyBorder="1" applyAlignment="1">
      <alignment vertical="center" wrapText="1"/>
    </xf>
    <xf numFmtId="0" fontId="3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6" fillId="0" borderId="84" xfId="0" applyFont="1" applyBorder="1" applyAlignment="1">
      <alignment vertical="center"/>
    </xf>
    <xf numFmtId="0" fontId="8" fillId="0" borderId="67" xfId="1"/>
    <xf numFmtId="0" fontId="12" fillId="5" borderId="88" xfId="1" applyFont="1" applyFill="1" applyBorder="1" applyAlignment="1">
      <alignment horizontal="center" vertical="center" wrapText="1"/>
    </xf>
    <xf numFmtId="0" fontId="13" fillId="5" borderId="89" xfId="1" applyFont="1" applyFill="1" applyBorder="1" applyAlignment="1">
      <alignment horizontal="center" vertical="center" wrapText="1"/>
    </xf>
    <xf numFmtId="0" fontId="12" fillId="5" borderId="89" xfId="1" applyFont="1" applyFill="1" applyBorder="1" applyAlignment="1">
      <alignment horizontal="center" vertical="center" wrapText="1"/>
    </xf>
    <xf numFmtId="0" fontId="12" fillId="5" borderId="90" xfId="1" applyFont="1" applyFill="1" applyBorder="1" applyAlignment="1">
      <alignment horizontal="center" vertical="center" wrapText="1"/>
    </xf>
    <xf numFmtId="0" fontId="15" fillId="0" borderId="89" xfId="1" applyFont="1" applyBorder="1" applyAlignment="1">
      <alignment horizontal="center" vertical="center" wrapText="1"/>
    </xf>
    <xf numFmtId="0" fontId="14" fillId="0" borderId="89" xfId="1" applyFont="1" applyBorder="1" applyAlignment="1">
      <alignment vertical="center" wrapText="1"/>
    </xf>
    <xf numFmtId="0" fontId="16" fillId="0" borderId="89" xfId="1" applyFont="1" applyBorder="1" applyAlignment="1">
      <alignment vertical="center" wrapText="1"/>
    </xf>
    <xf numFmtId="0" fontId="16" fillId="0" borderId="90" xfId="1" applyFont="1" applyBorder="1"/>
    <xf numFmtId="0" fontId="16" fillId="0" borderId="89" xfId="1" applyFont="1" applyBorder="1" applyAlignment="1">
      <alignment vertical="top" wrapText="1"/>
    </xf>
    <xf numFmtId="0" fontId="16" fillId="0" borderId="89" xfId="1" applyFont="1" applyBorder="1" applyAlignment="1">
      <alignment horizontal="left" vertical="center" wrapText="1"/>
    </xf>
    <xf numFmtId="0" fontId="14" fillId="0" borderId="90" xfId="1" applyFont="1" applyBorder="1" applyAlignment="1">
      <alignment vertical="center" wrapText="1"/>
    </xf>
    <xf numFmtId="0" fontId="16" fillId="0" borderId="92" xfId="1" applyFont="1" applyBorder="1" applyAlignment="1">
      <alignment vertical="center" wrapText="1"/>
    </xf>
    <xf numFmtId="0" fontId="8" fillId="0" borderId="67" xfId="1" applyAlignment="1">
      <alignment vertical="center"/>
    </xf>
    <xf numFmtId="0" fontId="19" fillId="0" borderId="67" xfId="2">
      <alignment vertical="center"/>
    </xf>
    <xf numFmtId="0" fontId="19" fillId="0" borderId="67" xfId="2" applyAlignment="1">
      <alignment horizontal="center" vertical="center"/>
    </xf>
    <xf numFmtId="0" fontId="23" fillId="0" borderId="67" xfId="2" applyFont="1" applyAlignment="1">
      <alignment horizontal="center" vertical="center"/>
    </xf>
    <xf numFmtId="0" fontId="24" fillId="0" borderId="67" xfId="2" applyFont="1" applyAlignment="1">
      <alignment horizontal="left" vertical="center"/>
    </xf>
    <xf numFmtId="0" fontId="25" fillId="6" borderId="89" xfId="2" applyFont="1" applyFill="1" applyBorder="1" applyAlignment="1">
      <alignment horizontal="center" vertical="center"/>
    </xf>
    <xf numFmtId="0" fontId="25" fillId="7" borderId="89" xfId="2" applyFont="1" applyFill="1" applyBorder="1" applyAlignment="1">
      <alignment horizontal="center" vertical="center"/>
    </xf>
    <xf numFmtId="176" fontId="25" fillId="8" borderId="89" xfId="2" applyNumberFormat="1" applyFont="1" applyFill="1" applyBorder="1" applyAlignment="1">
      <alignment horizontal="center" vertical="center"/>
    </xf>
    <xf numFmtId="177" fontId="26" fillId="9" borderId="89" xfId="2" applyNumberFormat="1" applyFont="1" applyFill="1" applyBorder="1" applyAlignment="1">
      <alignment horizontal="center" vertical="center"/>
    </xf>
    <xf numFmtId="49" fontId="25" fillId="0" borderId="89" xfId="2" applyNumberFormat="1" applyFont="1" applyBorder="1" applyAlignment="1">
      <alignment horizontal="left" vertical="top" wrapText="1"/>
    </xf>
    <xf numFmtId="49" fontId="27" fillId="10" borderId="89" xfId="2" applyNumberFormat="1" applyFont="1" applyFill="1" applyBorder="1" applyAlignment="1">
      <alignment horizontal="left" vertical="top" wrapText="1"/>
    </xf>
    <xf numFmtId="49" fontId="25" fillId="10" borderId="89" xfId="2" applyNumberFormat="1" applyFont="1" applyFill="1" applyBorder="1" applyAlignment="1">
      <alignment horizontal="left" vertical="top" wrapText="1"/>
    </xf>
    <xf numFmtId="49" fontId="25" fillId="11" borderId="89" xfId="2" applyNumberFormat="1" applyFont="1" applyFill="1" applyBorder="1" applyAlignment="1">
      <alignment horizontal="left" vertical="top" wrapText="1"/>
    </xf>
    <xf numFmtId="177" fontId="25" fillId="9" borderId="89" xfId="2" applyNumberFormat="1" applyFont="1" applyFill="1" applyBorder="1" applyAlignment="1">
      <alignment horizontal="center" vertical="center"/>
    </xf>
    <xf numFmtId="0" fontId="19" fillId="0" borderId="89" xfId="2" applyBorder="1">
      <alignment vertical="center"/>
    </xf>
    <xf numFmtId="0" fontId="19" fillId="0" borderId="89" xfId="2" applyBorder="1" applyAlignment="1">
      <alignment horizontal="center" vertical="center"/>
    </xf>
    <xf numFmtId="3" fontId="30" fillId="0" borderId="67" xfId="2" applyNumberFormat="1" applyFont="1">
      <alignment vertical="center"/>
    </xf>
    <xf numFmtId="1" fontId="30" fillId="0" borderId="67" xfId="2" applyNumberFormat="1" applyFont="1">
      <alignment vertical="center"/>
    </xf>
    <xf numFmtId="2" fontId="30" fillId="0" borderId="67" xfId="2" applyNumberFormat="1" applyFont="1">
      <alignment vertical="center"/>
    </xf>
    <xf numFmtId="0" fontId="19" fillId="0" borderId="67" xfId="2" applyAlignment="1">
      <alignment horizontal="left" vertical="center"/>
    </xf>
    <xf numFmtId="0" fontId="31" fillId="0" borderId="89" xfId="3" applyBorder="1" applyAlignment="1">
      <alignment horizontal="center" vertical="center"/>
    </xf>
    <xf numFmtId="0" fontId="31" fillId="0" borderId="67" xfId="3">
      <alignment vertical="center"/>
    </xf>
    <xf numFmtId="0" fontId="31" fillId="0" borderId="89" xfId="3" applyBorder="1">
      <alignment vertical="center"/>
    </xf>
    <xf numFmtId="0" fontId="6" fillId="0" borderId="32" xfId="0" applyFont="1" applyBorder="1" applyAlignment="1">
      <alignment vertical="center" wrapText="1"/>
    </xf>
    <xf numFmtId="0" fontId="15" fillId="0" borderId="92" xfId="1" applyFont="1" applyBorder="1" applyAlignment="1">
      <alignment horizontal="center" vertical="center" wrapText="1"/>
    </xf>
    <xf numFmtId="0" fontId="14" fillId="0" borderId="92" xfId="1" applyFont="1" applyBorder="1" applyAlignment="1">
      <alignment horizontal="left" vertical="center" wrapText="1"/>
    </xf>
    <xf numFmtId="49" fontId="3" fillId="0" borderId="61" xfId="0" applyNumberFormat="1" applyFont="1" applyBorder="1" applyAlignment="1">
      <alignment vertical="center"/>
    </xf>
    <xf numFmtId="49" fontId="3" fillId="0" borderId="62" xfId="0" applyNumberFormat="1" applyFont="1" applyBorder="1" applyAlignment="1">
      <alignment vertical="center" wrapText="1"/>
    </xf>
    <xf numFmtId="0" fontId="3" fillId="0" borderId="70" xfId="0" applyFont="1" applyBorder="1" applyAlignment="1">
      <alignment vertical="center"/>
    </xf>
    <xf numFmtId="0" fontId="33" fillId="0" borderId="89" xfId="1" applyFont="1" applyBorder="1" applyAlignment="1">
      <alignment horizontal="left" vertical="center" wrapText="1"/>
    </xf>
    <xf numFmtId="0" fontId="9" fillId="0" borderId="89" xfId="1" applyFont="1" applyBorder="1" applyAlignment="1">
      <alignment horizontal="left" vertical="center" wrapText="1"/>
    </xf>
    <xf numFmtId="0" fontId="37" fillId="0" borderId="89" xfId="1" applyFont="1" applyBorder="1" applyAlignment="1">
      <alignment horizontal="left" vertical="center" wrapText="1"/>
    </xf>
    <xf numFmtId="0" fontId="35" fillId="0" borderId="89" xfId="1" applyFont="1" applyBorder="1" applyAlignment="1">
      <alignment horizontal="left" vertical="center" wrapText="1"/>
    </xf>
    <xf numFmtId="0" fontId="16" fillId="0" borderId="89" xfId="1" quotePrefix="1" applyFont="1" applyBorder="1" applyAlignment="1">
      <alignment vertical="center" wrapText="1"/>
    </xf>
    <xf numFmtId="0" fontId="32" fillId="0" borderId="89" xfId="1" applyFont="1" applyBorder="1" applyAlignment="1">
      <alignment vertical="center" wrapText="1"/>
    </xf>
    <xf numFmtId="0" fontId="32" fillId="0" borderId="89" xfId="1" applyFont="1" applyBorder="1" applyAlignment="1">
      <alignment horizontal="left" vertical="center" wrapText="1"/>
    </xf>
    <xf numFmtId="0" fontId="32" fillId="0" borderId="92" xfId="1" applyFont="1" applyBorder="1" applyAlignment="1">
      <alignment vertical="center" wrapText="1"/>
    </xf>
    <xf numFmtId="0" fontId="14" fillId="0" borderId="92" xfId="1" applyFont="1" applyBorder="1" applyAlignment="1">
      <alignment vertical="center" wrapText="1"/>
    </xf>
    <xf numFmtId="0" fontId="14" fillId="0" borderId="93" xfId="1" applyFont="1" applyBorder="1" applyAlignment="1">
      <alignment vertical="center" wrapText="1"/>
    </xf>
    <xf numFmtId="0" fontId="4" fillId="0" borderId="50" xfId="0" applyFont="1" applyBorder="1" applyAlignment="1">
      <alignment vertical="center"/>
    </xf>
    <xf numFmtId="49" fontId="3" fillId="0" borderId="97" xfId="0" applyNumberFormat="1" applyFont="1" applyBorder="1" applyAlignment="1">
      <alignment vertical="center"/>
    </xf>
    <xf numFmtId="49" fontId="3" fillId="0" borderId="62" xfId="0" applyNumberFormat="1" applyFont="1" applyBorder="1" applyAlignment="1">
      <alignment vertical="center"/>
    </xf>
    <xf numFmtId="0" fontId="3" fillId="0" borderId="65" xfId="0" applyFont="1" applyBorder="1" applyAlignment="1">
      <alignment horizontal="center" vertical="center"/>
    </xf>
    <xf numFmtId="0" fontId="3" fillId="0" borderId="50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0" fontId="41" fillId="0" borderId="32" xfId="0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0" fontId="7" fillId="0" borderId="68" xfId="0" applyFont="1" applyBorder="1" applyAlignment="1">
      <alignment vertical="center"/>
    </xf>
    <xf numFmtId="0" fontId="3" fillId="0" borderId="98" xfId="0" applyFont="1" applyBorder="1" applyAlignment="1">
      <alignment vertical="center"/>
    </xf>
    <xf numFmtId="0" fontId="3" fillId="0" borderId="99" xfId="0" applyFont="1" applyBorder="1" applyAlignment="1">
      <alignment vertical="center"/>
    </xf>
    <xf numFmtId="49" fontId="3" fillId="0" borderId="100" xfId="0" applyNumberFormat="1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33" fillId="0" borderId="101" xfId="0" applyFont="1" applyBorder="1" applyAlignment="1">
      <alignment horizontal="center" vertical="center"/>
    </xf>
    <xf numFmtId="0" fontId="33" fillId="0" borderId="102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1" fillId="0" borderId="89" xfId="3" applyBorder="1" applyAlignment="1">
      <alignment horizontal="left" vertical="center"/>
    </xf>
    <xf numFmtId="0" fontId="31" fillId="0" borderId="94" xfId="3" applyBorder="1" applyAlignment="1">
      <alignment horizontal="left" vertical="center"/>
    </xf>
    <xf numFmtId="0" fontId="31" fillId="0" borderId="95" xfId="3" applyBorder="1" applyAlignment="1">
      <alignment horizontal="left" vertical="center"/>
    </xf>
    <xf numFmtId="0" fontId="31" fillId="0" borderId="96" xfId="3" applyBorder="1" applyAlignment="1">
      <alignment horizontal="left" vertical="center"/>
    </xf>
    <xf numFmtId="22" fontId="31" fillId="0" borderId="94" xfId="3" quotePrefix="1" applyNumberFormat="1" applyBorder="1" applyAlignment="1">
      <alignment horizontal="left" vertical="center"/>
    </xf>
    <xf numFmtId="0" fontId="31" fillId="0" borderId="94" xfId="3" applyBorder="1" applyAlignment="1">
      <alignment horizontal="left" vertical="center" wrapText="1"/>
    </xf>
    <xf numFmtId="0" fontId="31" fillId="0" borderId="95" xfId="3" applyBorder="1" applyAlignment="1">
      <alignment horizontal="left" vertical="center" wrapText="1"/>
    </xf>
    <xf numFmtId="0" fontId="31" fillId="0" borderId="96" xfId="3" applyBorder="1" applyAlignment="1">
      <alignment horizontal="left" vertical="center" wrapText="1"/>
    </xf>
    <xf numFmtId="0" fontId="31" fillId="0" borderId="94" xfId="3" quotePrefix="1" applyBorder="1" applyAlignment="1">
      <alignment horizontal="left" vertical="center" wrapText="1"/>
    </xf>
    <xf numFmtId="0" fontId="31" fillId="0" borderId="94" xfId="3" applyBorder="1" applyAlignment="1">
      <alignment horizontal="center" vertical="center"/>
    </xf>
    <xf numFmtId="0" fontId="31" fillId="0" borderId="95" xfId="3" applyBorder="1" applyAlignment="1">
      <alignment horizontal="center" vertical="center"/>
    </xf>
    <xf numFmtId="0" fontId="31" fillId="0" borderId="96" xfId="3" applyBorder="1" applyAlignment="1">
      <alignment horizontal="center" vertical="center"/>
    </xf>
    <xf numFmtId="0" fontId="20" fillId="0" borderId="67" xfId="2" applyFont="1" applyAlignment="1">
      <alignment horizontal="center" vertical="center"/>
    </xf>
    <xf numFmtId="0" fontId="22" fillId="0" borderId="94" xfId="2" applyFont="1" applyBorder="1" applyAlignment="1">
      <alignment horizontal="center" vertical="center" wrapText="1"/>
    </xf>
    <xf numFmtId="0" fontId="22" fillId="0" borderId="95" xfId="2" applyFont="1" applyBorder="1" applyAlignment="1">
      <alignment horizontal="center" vertical="center" wrapText="1"/>
    </xf>
    <xf numFmtId="0" fontId="22" fillId="0" borderId="96" xfId="2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4" borderId="36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0" borderId="104" xfId="0" applyFont="1" applyBorder="1" applyAlignment="1">
      <alignment horizontal="center" vertical="center" wrapText="1"/>
    </xf>
    <xf numFmtId="0" fontId="4" fillId="0" borderId="105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 wrapText="1"/>
    </xf>
    <xf numFmtId="0" fontId="4" fillId="0" borderId="109" xfId="0" applyFont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14" fillId="0" borderId="88" xfId="1" applyFont="1" applyBorder="1" applyAlignment="1">
      <alignment horizontal="center" vertical="center" wrapText="1"/>
    </xf>
    <xf numFmtId="0" fontId="14" fillId="0" borderId="91" xfId="1" applyFont="1" applyBorder="1" applyAlignment="1">
      <alignment horizontal="center" vertical="center" wrapText="1"/>
    </xf>
    <xf numFmtId="0" fontId="11" fillId="0" borderId="85" xfId="1" applyFont="1" applyBorder="1" applyAlignment="1">
      <alignment horizontal="center" vertical="center"/>
    </xf>
    <xf numFmtId="0" fontId="11" fillId="0" borderId="86" xfId="1" applyFont="1" applyBorder="1" applyAlignment="1">
      <alignment horizontal="center" vertical="center"/>
    </xf>
    <xf numFmtId="0" fontId="11" fillId="0" borderId="87" xfId="1" applyFont="1" applyBorder="1" applyAlignment="1">
      <alignment horizontal="center" vertical="center"/>
    </xf>
    <xf numFmtId="0" fontId="44" fillId="0" borderId="88" xfId="1" applyFont="1" applyBorder="1" applyAlignment="1">
      <alignment horizontal="center" vertical="center" wrapText="1"/>
    </xf>
    <xf numFmtId="0" fontId="3" fillId="0" borderId="28" xfId="0" applyFont="1" applyFill="1" applyBorder="1" applyAlignment="1">
      <alignment vertical="center"/>
    </xf>
    <xf numFmtId="0" fontId="3" fillId="0" borderId="33" xfId="0" applyFont="1" applyFill="1" applyBorder="1" applyAlignment="1">
      <alignment vertical="center"/>
    </xf>
    <xf numFmtId="49" fontId="3" fillId="0" borderId="61" xfId="0" applyNumberFormat="1" applyFont="1" applyFill="1" applyBorder="1" applyAlignment="1">
      <alignment vertical="center"/>
    </xf>
    <xf numFmtId="49" fontId="3" fillId="0" borderId="62" xfId="0" applyNumberFormat="1" applyFont="1" applyFill="1" applyBorder="1" applyAlignment="1">
      <alignment vertical="center" wrapText="1"/>
    </xf>
    <xf numFmtId="0" fontId="45" fillId="0" borderId="94" xfId="3" applyFont="1" applyBorder="1" applyAlignment="1">
      <alignment horizontal="left" vertical="center"/>
    </xf>
    <xf numFmtId="0" fontId="45" fillId="0" borderId="95" xfId="3" applyFont="1" applyBorder="1" applyAlignment="1">
      <alignment horizontal="left" vertical="center"/>
    </xf>
    <xf numFmtId="0" fontId="45" fillId="0" borderId="96" xfId="3" applyFont="1" applyBorder="1" applyAlignment="1">
      <alignment horizontal="left" vertical="center"/>
    </xf>
  </cellXfs>
  <cellStyles count="6">
    <cellStyle name="쉼표 [0] 2" xfId="4" xr:uid="{00000000-0005-0000-0000-000000000000}"/>
    <cellStyle name="쉼표 [0] 2 2" xfId="5" xr:uid="{00000000-0005-0000-0000-000001000000}"/>
    <cellStyle name="표준" xfId="0" builtinId="0"/>
    <cellStyle name="표준 2" xfId="1" xr:uid="{00000000-0005-0000-0000-000003000000}"/>
    <cellStyle name="표준 7" xfId="3" xr:uid="{00000000-0005-0000-0000-000004000000}"/>
    <cellStyle name="표준_★ 목차_일정_이슈_강원랜드 Survaillance_V.2.0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178593</xdr:colOff>
      <xdr:row>21</xdr:row>
      <xdr:rowOff>1476375</xdr:rowOff>
    </xdr:from>
    <xdr:to>
      <xdr:col>4</xdr:col>
      <xdr:colOff>4668685</xdr:colOff>
      <xdr:row>21</xdr:row>
      <xdr:rowOff>2606138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D596CF2-1554-4031-AE84-457049887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3593" y="28825031"/>
          <a:ext cx="4478662" cy="1124048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22</xdr:row>
      <xdr:rowOff>547688</xdr:rowOff>
    </xdr:from>
    <xdr:to>
      <xdr:col>4</xdr:col>
      <xdr:colOff>4592957</xdr:colOff>
      <xdr:row>22</xdr:row>
      <xdr:rowOff>1470169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91A046A-AD75-436B-AA4D-64B19EDB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0" y="30539532"/>
          <a:ext cx="4411982" cy="922481"/>
        </a:xfrm>
        <a:prstGeom prst="rect">
          <a:avLst/>
        </a:prstGeom>
      </xdr:spPr>
    </xdr:pic>
    <xdr:clientData/>
  </xdr:twoCellAnchor>
  <xdr:twoCellAnchor editAs="oneCell">
    <xdr:from>
      <xdr:col>4</xdr:col>
      <xdr:colOff>202406</xdr:colOff>
      <xdr:row>38</xdr:row>
      <xdr:rowOff>1813775</xdr:rowOff>
    </xdr:from>
    <xdr:to>
      <xdr:col>4</xdr:col>
      <xdr:colOff>4590097</xdr:colOff>
      <xdr:row>38</xdr:row>
      <xdr:rowOff>4058983</xdr:rowOff>
    </xdr:to>
    <xdr:pic>
      <xdr:nvPicPr>
        <xdr:cNvPr id="21" name="table">
          <a:extLst>
            <a:ext uri="{FF2B5EF4-FFF2-40B4-BE49-F238E27FC236}">
              <a16:creationId xmlns:a16="http://schemas.microsoft.com/office/drawing/2014/main" id="{23901DCB-0B21-4F92-8846-113336628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17406" y="50165056"/>
          <a:ext cx="4397216" cy="2247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A1:H20"/>
  <sheetViews>
    <sheetView zoomScale="80" zoomScaleNormal="80" workbookViewId="0">
      <selection activeCell="B7" sqref="B7:H7"/>
    </sheetView>
  </sheetViews>
  <sheetFormatPr defaultColWidth="9.7109375" defaultRowHeight="13.5"/>
  <cols>
    <col min="1" max="8" width="19.5703125" style="120" customWidth="1"/>
    <col min="9" max="16384" width="9.7109375" style="120"/>
  </cols>
  <sheetData>
    <row r="1" spans="1:8" ht="33.75" customHeight="1">
      <c r="A1" s="119" t="s">
        <v>108</v>
      </c>
      <c r="B1" s="197" t="s">
        <v>129</v>
      </c>
      <c r="C1" s="198"/>
      <c r="D1" s="198"/>
      <c r="E1" s="198"/>
      <c r="F1" s="198"/>
      <c r="G1" s="198"/>
      <c r="H1" s="199"/>
    </row>
    <row r="2" spans="1:8" ht="33.75" customHeight="1">
      <c r="A2" s="119" t="s">
        <v>109</v>
      </c>
      <c r="B2" s="157" t="s">
        <v>130</v>
      </c>
      <c r="C2" s="158"/>
      <c r="D2" s="158"/>
      <c r="E2" s="158"/>
      <c r="F2" s="158"/>
      <c r="G2" s="158"/>
      <c r="H2" s="159"/>
    </row>
    <row r="3" spans="1:8" ht="22.5" customHeight="1">
      <c r="A3" s="119" t="s">
        <v>110</v>
      </c>
      <c r="B3" s="157" t="s">
        <v>131</v>
      </c>
      <c r="C3" s="158"/>
      <c r="D3" s="158"/>
      <c r="E3" s="158"/>
      <c r="F3" s="158"/>
      <c r="G3" s="158"/>
      <c r="H3" s="159"/>
    </row>
    <row r="4" spans="1:8" ht="22.5" customHeight="1">
      <c r="A4" s="119" t="s">
        <v>111</v>
      </c>
      <c r="B4" s="157" t="s">
        <v>132</v>
      </c>
      <c r="C4" s="158"/>
      <c r="D4" s="158"/>
      <c r="E4" s="158"/>
      <c r="F4" s="158"/>
      <c r="G4" s="158"/>
      <c r="H4" s="159"/>
    </row>
    <row r="5" spans="1:8" ht="22.5" customHeight="1">
      <c r="A5" s="119" t="s">
        <v>112</v>
      </c>
      <c r="B5" s="160" t="s">
        <v>133</v>
      </c>
      <c r="C5" s="158"/>
      <c r="D5" s="158"/>
      <c r="E5" s="158"/>
      <c r="F5" s="158"/>
      <c r="G5" s="158"/>
      <c r="H5" s="159"/>
    </row>
    <row r="6" spans="1:8" ht="41.65" customHeight="1">
      <c r="A6" s="119" t="s">
        <v>113</v>
      </c>
      <c r="B6" s="161" t="s">
        <v>125</v>
      </c>
      <c r="C6" s="162"/>
      <c r="D6" s="162"/>
      <c r="E6" s="162"/>
      <c r="F6" s="162"/>
      <c r="G6" s="162"/>
      <c r="H6" s="163"/>
    </row>
    <row r="7" spans="1:8" ht="171" customHeight="1">
      <c r="A7" s="119" t="s">
        <v>306</v>
      </c>
      <c r="B7" s="164" t="s">
        <v>307</v>
      </c>
      <c r="C7" s="158"/>
      <c r="D7" s="158"/>
      <c r="E7" s="158"/>
      <c r="F7" s="158"/>
      <c r="G7" s="158"/>
      <c r="H7" s="159"/>
    </row>
    <row r="8" spans="1:8" ht="23.65" customHeight="1"/>
    <row r="9" spans="1:8" ht="42" customHeight="1">
      <c r="A9" s="119" t="s">
        <v>114</v>
      </c>
      <c r="B9" s="121"/>
      <c r="C9" s="119" t="s">
        <v>115</v>
      </c>
      <c r="D9" s="119" t="s">
        <v>116</v>
      </c>
      <c r="E9" s="119" t="s">
        <v>117</v>
      </c>
      <c r="F9" s="165" t="s">
        <v>118</v>
      </c>
      <c r="G9" s="166"/>
      <c r="H9" s="167"/>
    </row>
    <row r="10" spans="1:8" ht="22.5" customHeight="1">
      <c r="A10" s="121"/>
      <c r="B10" s="121"/>
      <c r="C10" s="119">
        <v>1</v>
      </c>
      <c r="D10" s="119"/>
      <c r="E10" s="119"/>
      <c r="F10" s="156"/>
      <c r="G10" s="156"/>
      <c r="H10" s="156"/>
    </row>
    <row r="11" spans="1:8" ht="22.5" customHeight="1">
      <c r="A11" s="121"/>
      <c r="B11" s="121"/>
      <c r="C11" s="119">
        <v>2</v>
      </c>
      <c r="D11" s="119"/>
      <c r="E11" s="119"/>
      <c r="F11" s="156"/>
      <c r="G11" s="156"/>
      <c r="H11" s="156"/>
    </row>
    <row r="12" spans="1:8" ht="22.5" customHeight="1">
      <c r="A12" s="121"/>
      <c r="B12" s="121"/>
      <c r="C12" s="119">
        <v>3</v>
      </c>
      <c r="D12" s="119"/>
      <c r="E12" s="119"/>
      <c r="F12" s="156"/>
      <c r="G12" s="156"/>
      <c r="H12" s="156"/>
    </row>
    <row r="13" spans="1:8" ht="22.5" customHeight="1">
      <c r="A13" s="121"/>
      <c r="B13" s="121"/>
      <c r="C13" s="119">
        <v>4</v>
      </c>
      <c r="D13" s="119"/>
      <c r="E13" s="119"/>
      <c r="F13" s="156"/>
      <c r="G13" s="156"/>
      <c r="H13" s="156"/>
    </row>
    <row r="14" spans="1:8" ht="22.5" customHeight="1">
      <c r="A14" s="121"/>
      <c r="B14" s="121"/>
      <c r="C14" s="119">
        <v>5</v>
      </c>
      <c r="D14" s="119"/>
      <c r="E14" s="119"/>
      <c r="F14" s="156"/>
      <c r="G14" s="156"/>
      <c r="H14" s="156"/>
    </row>
    <row r="15" spans="1:8" ht="22.5" customHeight="1">
      <c r="A15" s="121"/>
      <c r="B15" s="121"/>
      <c r="C15" s="119">
        <v>6</v>
      </c>
      <c r="D15" s="119"/>
      <c r="E15" s="119"/>
      <c r="F15" s="156"/>
      <c r="G15" s="156"/>
      <c r="H15" s="156"/>
    </row>
    <row r="16" spans="1:8" ht="22.5" customHeight="1">
      <c r="A16" s="121"/>
      <c r="B16" s="121"/>
      <c r="C16" s="119">
        <v>7</v>
      </c>
      <c r="D16" s="119"/>
      <c r="E16" s="119"/>
      <c r="F16" s="156"/>
      <c r="G16" s="156"/>
      <c r="H16" s="156"/>
    </row>
    <row r="17" spans="1:8" ht="22.5" customHeight="1">
      <c r="A17" s="121"/>
      <c r="B17" s="121"/>
      <c r="C17" s="119">
        <v>8</v>
      </c>
      <c r="D17" s="119"/>
      <c r="E17" s="119"/>
      <c r="F17" s="156"/>
      <c r="G17" s="156"/>
      <c r="H17" s="156"/>
    </row>
    <row r="18" spans="1:8" ht="22.5" customHeight="1">
      <c r="A18" s="121"/>
      <c r="B18" s="121"/>
      <c r="C18" s="119">
        <v>9</v>
      </c>
      <c r="D18" s="119"/>
      <c r="E18" s="119"/>
      <c r="F18" s="156"/>
      <c r="G18" s="156"/>
      <c r="H18" s="156"/>
    </row>
    <row r="19" spans="1:8" ht="22.5" customHeight="1">
      <c r="A19" s="121"/>
      <c r="B19" s="121"/>
      <c r="C19" s="119">
        <v>10</v>
      </c>
      <c r="D19" s="119"/>
      <c r="E19" s="119"/>
      <c r="F19" s="156"/>
      <c r="G19" s="156"/>
      <c r="H19" s="156"/>
    </row>
    <row r="20" spans="1:8" ht="22.5" customHeight="1">
      <c r="A20" s="121"/>
      <c r="B20" s="121"/>
      <c r="C20" s="119">
        <v>11</v>
      </c>
      <c r="D20" s="119"/>
      <c r="E20" s="119"/>
      <c r="F20" s="156"/>
      <c r="G20" s="156"/>
      <c r="H20" s="156"/>
    </row>
  </sheetData>
  <mergeCells count="19">
    <mergeCell ref="F20:H20"/>
    <mergeCell ref="F14:H14"/>
    <mergeCell ref="F15:H15"/>
    <mergeCell ref="F16:H16"/>
    <mergeCell ref="F17:H17"/>
    <mergeCell ref="F18:H18"/>
    <mergeCell ref="F19:H19"/>
    <mergeCell ref="F13:H13"/>
    <mergeCell ref="B1:H1"/>
    <mergeCell ref="B2:H2"/>
    <mergeCell ref="B3:H3"/>
    <mergeCell ref="B4:H4"/>
    <mergeCell ref="B5:H5"/>
    <mergeCell ref="B6:H6"/>
    <mergeCell ref="B7:H7"/>
    <mergeCell ref="F9:H9"/>
    <mergeCell ref="F10:H10"/>
    <mergeCell ref="F11:H11"/>
    <mergeCell ref="F12:H12"/>
  </mergeCells>
  <phoneticPr fontId="10" type="noConversion"/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9"/>
  <sheetViews>
    <sheetView zoomScale="80" zoomScaleNormal="80" workbookViewId="0">
      <pane ySplit="3" topLeftCell="A4" activePane="bottomLeft" state="frozen"/>
      <selection pane="bottomLeft" activeCell="C15" sqref="C15"/>
    </sheetView>
  </sheetViews>
  <sheetFormatPr defaultColWidth="7.5703125" defaultRowHeight="11.25"/>
  <cols>
    <col min="1" max="1" width="1.140625" style="100" customWidth="1"/>
    <col min="2" max="3" width="30.7109375" style="100" customWidth="1"/>
    <col min="4" max="8" width="30.7109375" style="101" customWidth="1"/>
    <col min="9" max="9" width="12.5703125" style="101" bestFit="1" customWidth="1"/>
    <col min="10" max="10" width="13.28515625" style="101" bestFit="1" customWidth="1"/>
    <col min="11" max="11" width="10.28515625" style="101" bestFit="1" customWidth="1"/>
    <col min="12" max="12" width="11.28515625" style="101" customWidth="1"/>
    <col min="13" max="13" width="10.28515625" style="101" customWidth="1"/>
    <col min="14" max="39" width="7.5703125" style="101" customWidth="1"/>
    <col min="40" max="16384" width="7.5703125" style="100"/>
  </cols>
  <sheetData>
    <row r="1" spans="1:39" ht="31.15" customHeight="1">
      <c r="B1" s="168" t="s">
        <v>99</v>
      </c>
      <c r="C1" s="168"/>
      <c r="D1" s="168"/>
      <c r="E1" s="168"/>
      <c r="F1" s="168"/>
      <c r="G1" s="168"/>
      <c r="H1" s="168"/>
    </row>
    <row r="2" spans="1:39" ht="14.25" customHeight="1">
      <c r="B2" s="169" t="str">
        <f xml:space="preserve"> Main!B1</f>
        <v>디지털식품클러스터 구축 정보화전략계획(ISP) 수립</v>
      </c>
      <c r="C2" s="170"/>
      <c r="D2" s="171"/>
      <c r="E2" s="102"/>
      <c r="G2" s="103"/>
    </row>
    <row r="3" spans="1:39" ht="18.600000000000001" customHeight="1">
      <c r="B3" s="104" t="s">
        <v>100</v>
      </c>
      <c r="C3" s="105" t="s">
        <v>101</v>
      </c>
      <c r="D3" s="105" t="s">
        <v>102</v>
      </c>
      <c r="E3" s="105" t="s">
        <v>103</v>
      </c>
      <c r="F3" s="105" t="s">
        <v>104</v>
      </c>
      <c r="G3" s="105" t="s">
        <v>105</v>
      </c>
      <c r="H3" s="104" t="s">
        <v>106</v>
      </c>
    </row>
    <row r="4" spans="1:39" ht="12.75">
      <c r="B4" s="106">
        <v>45074</v>
      </c>
      <c r="C4" s="106">
        <f t="shared" ref="C4:H5" si="0">B4+1</f>
        <v>45075</v>
      </c>
      <c r="D4" s="106">
        <f t="shared" si="0"/>
        <v>45076</v>
      </c>
      <c r="E4" s="106">
        <f t="shared" si="0"/>
        <v>45077</v>
      </c>
      <c r="F4" s="106">
        <f t="shared" si="0"/>
        <v>45078</v>
      </c>
      <c r="G4" s="106">
        <f t="shared" si="0"/>
        <v>45079</v>
      </c>
      <c r="H4" s="106">
        <f t="shared" si="0"/>
        <v>45080</v>
      </c>
    </row>
    <row r="5" spans="1:39" ht="12.75">
      <c r="B5" s="107">
        <v>-23</v>
      </c>
      <c r="C5" s="107">
        <f t="shared" si="0"/>
        <v>-22</v>
      </c>
      <c r="D5" s="107">
        <f t="shared" si="0"/>
        <v>-21</v>
      </c>
      <c r="E5" s="107">
        <f t="shared" si="0"/>
        <v>-20</v>
      </c>
      <c r="F5" s="107">
        <f t="shared" si="0"/>
        <v>-19</v>
      </c>
      <c r="G5" s="107">
        <f t="shared" si="0"/>
        <v>-18</v>
      </c>
      <c r="H5" s="107">
        <f t="shared" si="0"/>
        <v>-17</v>
      </c>
    </row>
    <row r="6" spans="1:39" ht="70.150000000000006" customHeight="1">
      <c r="B6" s="108"/>
      <c r="C6" s="109"/>
      <c r="D6" s="110"/>
      <c r="E6" s="109" t="s">
        <v>303</v>
      </c>
      <c r="F6" s="109" t="s">
        <v>302</v>
      </c>
      <c r="G6" s="109" t="s">
        <v>301</v>
      </c>
      <c r="H6" s="108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</row>
    <row r="7" spans="1:39" s="101" customFormat="1" ht="12.75">
      <c r="B7" s="106">
        <f>H4+1</f>
        <v>45081</v>
      </c>
      <c r="C7" s="106">
        <f t="shared" ref="C7:H8" si="1">B7+1</f>
        <v>45082</v>
      </c>
      <c r="D7" s="106">
        <f t="shared" si="1"/>
        <v>45083</v>
      </c>
      <c r="E7" s="106">
        <f t="shared" si="1"/>
        <v>45084</v>
      </c>
      <c r="F7" s="106">
        <f t="shared" si="1"/>
        <v>45085</v>
      </c>
      <c r="G7" s="106">
        <f t="shared" si="1"/>
        <v>45086</v>
      </c>
      <c r="H7" s="106">
        <f t="shared" si="1"/>
        <v>45087</v>
      </c>
    </row>
    <row r="8" spans="1:39" ht="12.75">
      <c r="A8" s="100">
        <v>4</v>
      </c>
      <c r="B8" s="107">
        <f>H5+1</f>
        <v>-16</v>
      </c>
      <c r="C8" s="107">
        <f t="shared" si="1"/>
        <v>-15</v>
      </c>
      <c r="D8" s="107">
        <f t="shared" si="1"/>
        <v>-14</v>
      </c>
      <c r="E8" s="107">
        <f t="shared" si="1"/>
        <v>-13</v>
      </c>
      <c r="F8" s="107">
        <f t="shared" si="1"/>
        <v>-12</v>
      </c>
      <c r="G8" s="107">
        <f t="shared" si="1"/>
        <v>-11</v>
      </c>
      <c r="H8" s="107">
        <f t="shared" si="1"/>
        <v>-10</v>
      </c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</row>
    <row r="9" spans="1:39" ht="73.900000000000006" customHeight="1">
      <c r="B9" s="108"/>
      <c r="C9" s="109"/>
      <c r="D9" s="109"/>
      <c r="E9" s="109"/>
      <c r="F9" s="109"/>
      <c r="G9" s="109"/>
      <c r="H9" s="108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</row>
    <row r="10" spans="1:39" s="101" customFormat="1" ht="12.75">
      <c r="B10" s="106">
        <f>H7+1</f>
        <v>45088</v>
      </c>
      <c r="C10" s="106">
        <f t="shared" ref="C10:H11" si="2">B10+1</f>
        <v>45089</v>
      </c>
      <c r="D10" s="106">
        <f t="shared" si="2"/>
        <v>45090</v>
      </c>
      <c r="E10" s="106">
        <f t="shared" si="2"/>
        <v>45091</v>
      </c>
      <c r="F10" s="106">
        <f t="shared" si="2"/>
        <v>45092</v>
      </c>
      <c r="G10" s="106">
        <f t="shared" si="2"/>
        <v>45093</v>
      </c>
      <c r="H10" s="106">
        <f t="shared" si="2"/>
        <v>45094</v>
      </c>
    </row>
    <row r="11" spans="1:39" s="101" customFormat="1" ht="12.75">
      <c r="B11" s="107">
        <f>H8+1</f>
        <v>-9</v>
      </c>
      <c r="C11" s="107">
        <f t="shared" si="2"/>
        <v>-8</v>
      </c>
      <c r="D11" s="107">
        <f t="shared" si="2"/>
        <v>-7</v>
      </c>
      <c r="E11" s="107">
        <f t="shared" si="2"/>
        <v>-6</v>
      </c>
      <c r="F11" s="107">
        <f t="shared" si="2"/>
        <v>-5</v>
      </c>
      <c r="G11" s="107">
        <f t="shared" si="2"/>
        <v>-4</v>
      </c>
      <c r="H11" s="107">
        <f t="shared" si="2"/>
        <v>-3</v>
      </c>
    </row>
    <row r="12" spans="1:39" s="101" customFormat="1" ht="70.150000000000006" customHeight="1">
      <c r="B12" s="110"/>
      <c r="C12" s="109" t="s">
        <v>304</v>
      </c>
      <c r="D12" s="109"/>
      <c r="E12" s="109" t="s">
        <v>305</v>
      </c>
      <c r="F12" s="109"/>
      <c r="G12" s="109" t="s">
        <v>107</v>
      </c>
      <c r="H12" s="110"/>
    </row>
    <row r="13" spans="1:39" ht="12.75">
      <c r="B13" s="106">
        <f>H10+1</f>
        <v>45095</v>
      </c>
      <c r="C13" s="106">
        <f t="shared" ref="C13:H14" si="3">B13+1</f>
        <v>45096</v>
      </c>
      <c r="D13" s="106">
        <f t="shared" si="3"/>
        <v>45097</v>
      </c>
      <c r="E13" s="106">
        <f t="shared" si="3"/>
        <v>45098</v>
      </c>
      <c r="F13" s="106">
        <f t="shared" si="3"/>
        <v>45099</v>
      </c>
      <c r="G13" s="106">
        <f t="shared" si="3"/>
        <v>45100</v>
      </c>
      <c r="H13" s="106">
        <f t="shared" si="3"/>
        <v>45101</v>
      </c>
    </row>
    <row r="14" spans="1:39" ht="12.75">
      <c r="B14" s="107">
        <f>H11+1</f>
        <v>-2</v>
      </c>
      <c r="C14" s="107">
        <f t="shared" si="3"/>
        <v>-1</v>
      </c>
      <c r="D14" s="107">
        <f t="shared" si="3"/>
        <v>0</v>
      </c>
      <c r="E14" s="107">
        <f t="shared" si="3"/>
        <v>1</v>
      </c>
      <c r="F14" s="107">
        <f t="shared" si="3"/>
        <v>2</v>
      </c>
      <c r="G14" s="107">
        <f t="shared" si="3"/>
        <v>3</v>
      </c>
      <c r="H14" s="107">
        <f t="shared" si="3"/>
        <v>4</v>
      </c>
    </row>
    <row r="15" spans="1:39" ht="72.599999999999994" customHeight="1">
      <c r="B15" s="110"/>
      <c r="C15" s="109"/>
      <c r="D15" s="111" t="s">
        <v>159</v>
      </c>
      <c r="E15" s="109"/>
      <c r="F15" s="109"/>
      <c r="G15" s="110"/>
      <c r="H15" s="108"/>
    </row>
    <row r="16" spans="1:39" s="101" customFormat="1" ht="12.75">
      <c r="A16" s="100"/>
      <c r="B16" s="106">
        <f>H13+1</f>
        <v>45102</v>
      </c>
      <c r="C16" s="106">
        <f t="shared" ref="C16:H17" si="4">B16+1</f>
        <v>45103</v>
      </c>
      <c r="D16" s="106">
        <f t="shared" si="4"/>
        <v>45104</v>
      </c>
      <c r="E16" s="106">
        <f t="shared" si="4"/>
        <v>45105</v>
      </c>
      <c r="F16" s="106">
        <f t="shared" si="4"/>
        <v>45106</v>
      </c>
      <c r="G16" s="106">
        <f t="shared" si="4"/>
        <v>45107</v>
      </c>
      <c r="H16" s="106">
        <f t="shared" si="4"/>
        <v>45108</v>
      </c>
    </row>
    <row r="17" spans="1:8" s="101" customFormat="1" ht="12.75">
      <c r="A17" s="100"/>
      <c r="B17" s="107">
        <f>H14+1</f>
        <v>5</v>
      </c>
      <c r="C17" s="107">
        <f t="shared" si="4"/>
        <v>6</v>
      </c>
      <c r="D17" s="107">
        <f t="shared" si="4"/>
        <v>7</v>
      </c>
      <c r="E17" s="107">
        <f t="shared" si="4"/>
        <v>8</v>
      </c>
      <c r="F17" s="107">
        <f t="shared" si="4"/>
        <v>9</v>
      </c>
      <c r="G17" s="107">
        <f t="shared" si="4"/>
        <v>10</v>
      </c>
      <c r="H17" s="112">
        <f t="shared" si="4"/>
        <v>11</v>
      </c>
    </row>
    <row r="18" spans="1:8" ht="59.65" customHeight="1">
      <c r="B18" s="113"/>
      <c r="C18" s="109"/>
      <c r="D18" s="110"/>
      <c r="E18" s="114"/>
      <c r="F18" s="114"/>
      <c r="G18" s="114"/>
      <c r="H18" s="114"/>
    </row>
    <row r="20" spans="1:8" ht="14.25">
      <c r="B20" s="115"/>
      <c r="C20" s="116"/>
      <c r="D20" s="117"/>
      <c r="F20" s="118"/>
    </row>
    <row r="25" spans="1:8">
      <c r="F25" s="118"/>
    </row>
    <row r="26" spans="1:8">
      <c r="F26" s="118"/>
    </row>
    <row r="27" spans="1:8">
      <c r="F27" s="118"/>
    </row>
    <row r="28" spans="1:8">
      <c r="F28" s="118"/>
    </row>
    <row r="29" spans="1:8">
      <c r="F29" s="118"/>
    </row>
  </sheetData>
  <mergeCells count="2">
    <mergeCell ref="B1:H1"/>
    <mergeCell ref="B2:D2"/>
  </mergeCells>
  <phoneticPr fontId="10" type="noConversion"/>
  <pageMargins left="0.23622047244094491" right="0.23622047244094491" top="0.55118110236220474" bottom="0.15748031496062992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0"/>
  <sheetViews>
    <sheetView tabSelected="1" zoomScale="90" zoomScaleNormal="90" workbookViewId="0">
      <pane ySplit="4" topLeftCell="A5" activePane="bottomLeft" state="frozen"/>
      <selection pane="bottomLeft" sqref="A1:J1"/>
    </sheetView>
  </sheetViews>
  <sheetFormatPr defaultColWidth="14.42578125" defaultRowHeight="15" customHeight="1"/>
  <cols>
    <col min="1" max="1" width="20.140625" customWidth="1"/>
    <col min="2" max="2" width="14.28515625" customWidth="1"/>
    <col min="3" max="3" width="14.140625" customWidth="1"/>
    <col min="4" max="5" width="34.28515625" customWidth="1"/>
    <col min="6" max="6" width="48.42578125" customWidth="1"/>
    <col min="7" max="7" width="9.140625" customWidth="1"/>
    <col min="8" max="9" width="7.140625" customWidth="1"/>
    <col min="10" max="10" width="56.85546875" customWidth="1"/>
    <col min="11" max="26" width="9" customWidth="1"/>
  </cols>
  <sheetData>
    <row r="1" spans="1:26" ht="20.25" customHeight="1">
      <c r="A1" s="172" t="str">
        <f>Main!B1</f>
        <v>디지털식품클러스터 구축 정보화전략계획(ISP) 수립</v>
      </c>
      <c r="B1" s="173"/>
      <c r="C1" s="173"/>
      <c r="D1" s="173"/>
      <c r="E1" s="173"/>
      <c r="F1" s="173"/>
      <c r="G1" s="173"/>
      <c r="H1" s="173"/>
      <c r="I1" s="173"/>
      <c r="J1" s="17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thickBot="1">
      <c r="A2" s="1"/>
      <c r="B2" s="1"/>
      <c r="C2" s="1"/>
      <c r="D2" s="1"/>
      <c r="E2" s="1"/>
      <c r="F2" s="2"/>
      <c r="G2" s="3"/>
      <c r="H2" s="3">
        <f>SUM(H5,H16,H52,H78,H88,H103,H130)</f>
        <v>162</v>
      </c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77" t="s">
        <v>0</v>
      </c>
      <c r="B3" s="182" t="s">
        <v>1</v>
      </c>
      <c r="C3" s="179" t="s">
        <v>406</v>
      </c>
      <c r="D3" s="180"/>
      <c r="E3" s="180"/>
      <c r="F3" s="181"/>
      <c r="G3" s="4" t="s">
        <v>2</v>
      </c>
      <c r="H3" s="4" t="s">
        <v>3</v>
      </c>
      <c r="I3" s="4" t="s">
        <v>4</v>
      </c>
      <c r="J3" s="5" t="s">
        <v>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thickBot="1">
      <c r="A4" s="178"/>
      <c r="B4" s="183"/>
      <c r="C4" s="6" t="s">
        <v>405</v>
      </c>
      <c r="D4" s="7" t="s">
        <v>6</v>
      </c>
      <c r="E4" s="8" t="s">
        <v>7</v>
      </c>
      <c r="F4" s="9" t="s">
        <v>8</v>
      </c>
      <c r="G4" s="10"/>
      <c r="H4" s="10"/>
      <c r="I4" s="10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thickTop="1">
      <c r="A5" s="12"/>
      <c r="B5" s="13"/>
      <c r="C5" s="14" t="s">
        <v>308</v>
      </c>
      <c r="D5" s="15"/>
      <c r="E5" s="16"/>
      <c r="F5" s="17"/>
      <c r="G5" s="18"/>
      <c r="H5" s="18">
        <f>SUM(H6:H15)</f>
        <v>15</v>
      </c>
      <c r="I5" s="18"/>
      <c r="J5" s="1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20"/>
      <c r="B6" s="21"/>
      <c r="C6" s="22"/>
      <c r="D6" s="23" t="s">
        <v>309</v>
      </c>
      <c r="E6" s="25" t="s">
        <v>422</v>
      </c>
      <c r="F6" s="25"/>
      <c r="G6" s="26"/>
      <c r="H6" s="26">
        <v>1</v>
      </c>
      <c r="I6" s="26" t="s">
        <v>407</v>
      </c>
      <c r="J6" s="14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74" t="s">
        <v>381</v>
      </c>
      <c r="B7" s="29"/>
      <c r="C7" s="30"/>
      <c r="D7" s="31"/>
      <c r="E7" s="32" t="s">
        <v>423</v>
      </c>
      <c r="F7" s="32"/>
      <c r="G7" s="26"/>
      <c r="H7" s="26">
        <v>1</v>
      </c>
      <c r="I7" s="26" t="s">
        <v>407</v>
      </c>
      <c r="J7" s="14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75"/>
      <c r="B8" s="29"/>
      <c r="C8" s="30"/>
      <c r="D8" s="31"/>
      <c r="E8" s="32" t="s">
        <v>424</v>
      </c>
      <c r="F8" s="32"/>
      <c r="G8" s="26"/>
      <c r="H8" s="26">
        <v>1</v>
      </c>
      <c r="I8" s="26" t="s">
        <v>407</v>
      </c>
      <c r="J8" s="14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75"/>
      <c r="B9" s="29"/>
      <c r="C9" s="30"/>
      <c r="D9" s="31"/>
      <c r="E9" s="32" t="s">
        <v>425</v>
      </c>
      <c r="F9" s="32"/>
      <c r="G9" s="26"/>
      <c r="H9" s="26">
        <v>1</v>
      </c>
      <c r="I9" s="26" t="s">
        <v>407</v>
      </c>
      <c r="J9" s="14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75"/>
      <c r="B10" s="29"/>
      <c r="C10" s="30"/>
      <c r="D10" s="139"/>
      <c r="E10" s="140" t="s">
        <v>426</v>
      </c>
      <c r="F10" s="140"/>
      <c r="G10" s="26"/>
      <c r="H10" s="26">
        <v>2</v>
      </c>
      <c r="I10" s="26" t="s">
        <v>407</v>
      </c>
      <c r="J10" s="14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38"/>
      <c r="B11" s="29"/>
      <c r="C11" s="30"/>
      <c r="D11" s="31" t="s">
        <v>310</v>
      </c>
      <c r="E11" s="125" t="s">
        <v>420</v>
      </c>
      <c r="F11" s="140"/>
      <c r="G11" s="26"/>
      <c r="H11" s="26">
        <v>1</v>
      </c>
      <c r="I11" s="26"/>
      <c r="J11" s="14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38"/>
      <c r="B12" s="29"/>
      <c r="C12" s="30"/>
      <c r="D12" s="31"/>
      <c r="E12" s="125" t="s">
        <v>421</v>
      </c>
      <c r="F12" s="140"/>
      <c r="G12" s="26"/>
      <c r="H12" s="26">
        <v>1</v>
      </c>
      <c r="I12" s="26"/>
      <c r="J12" s="14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28"/>
      <c r="B13" s="29"/>
      <c r="C13" s="30"/>
      <c r="D13" s="31" t="s">
        <v>311</v>
      </c>
      <c r="E13" s="125"/>
      <c r="F13" s="140"/>
      <c r="G13" s="26"/>
      <c r="H13" s="26">
        <v>7</v>
      </c>
      <c r="I13" s="26"/>
      <c r="J13" s="144" t="s">
        <v>312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38"/>
      <c r="B14" s="29"/>
      <c r="C14" s="30"/>
      <c r="D14" s="139"/>
      <c r="E14" s="125"/>
      <c r="F14" s="140"/>
      <c r="G14" s="26"/>
      <c r="H14" s="26"/>
      <c r="I14" s="26"/>
      <c r="J14" s="144" t="s">
        <v>312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38"/>
      <c r="B15" s="29"/>
      <c r="C15" s="30"/>
      <c r="D15" s="139"/>
      <c r="E15" s="37"/>
      <c r="F15" s="32"/>
      <c r="G15" s="26"/>
      <c r="H15" s="26"/>
      <c r="I15" s="26"/>
      <c r="J15" s="144" t="s">
        <v>312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39"/>
      <c r="B16" s="40"/>
      <c r="C16" s="41" t="s">
        <v>313</v>
      </c>
      <c r="D16" s="42"/>
      <c r="E16" s="43"/>
      <c r="F16" s="44"/>
      <c r="G16" s="45"/>
      <c r="H16" s="45">
        <f>SUM(H17:H51)</f>
        <v>35</v>
      </c>
      <c r="I16" s="45"/>
      <c r="J16" s="4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74" t="s">
        <v>389</v>
      </c>
      <c r="B17" s="47"/>
      <c r="C17" s="22"/>
      <c r="D17" s="23" t="s">
        <v>9</v>
      </c>
      <c r="E17" s="24" t="s">
        <v>316</v>
      </c>
      <c r="F17" s="48"/>
      <c r="G17" s="26"/>
      <c r="H17" s="26">
        <v>1</v>
      </c>
      <c r="I17" s="26" t="s">
        <v>124</v>
      </c>
      <c r="J17" s="2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75"/>
      <c r="B18" s="47"/>
      <c r="C18" s="30"/>
      <c r="D18" s="35"/>
      <c r="E18" s="37" t="s">
        <v>317</v>
      </c>
      <c r="F18" s="126" t="s">
        <v>321</v>
      </c>
      <c r="G18" s="26"/>
      <c r="H18" s="26">
        <v>2</v>
      </c>
      <c r="I18" s="26" t="s">
        <v>124</v>
      </c>
      <c r="J18" s="34" t="s">
        <v>331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75"/>
      <c r="B19" s="47"/>
      <c r="C19" s="30"/>
      <c r="D19" s="35"/>
      <c r="E19" s="37"/>
      <c r="F19" s="126" t="s">
        <v>322</v>
      </c>
      <c r="G19" s="26"/>
      <c r="H19" s="26">
        <v>1</v>
      </c>
      <c r="I19" s="26" t="s">
        <v>124</v>
      </c>
      <c r="J19" s="34" t="s">
        <v>404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75"/>
      <c r="B20" s="47"/>
      <c r="C20" s="30"/>
      <c r="D20" s="35"/>
      <c r="E20" s="37"/>
      <c r="F20" s="126" t="s">
        <v>323</v>
      </c>
      <c r="G20" s="26"/>
      <c r="H20" s="26">
        <v>2</v>
      </c>
      <c r="I20" s="26" t="s">
        <v>124</v>
      </c>
      <c r="J20" s="3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75"/>
      <c r="B21" s="47"/>
      <c r="C21" s="30"/>
      <c r="D21" s="35"/>
      <c r="E21" s="37"/>
      <c r="F21" s="126" t="s">
        <v>324</v>
      </c>
      <c r="G21" s="26"/>
      <c r="H21" s="26">
        <v>2</v>
      </c>
      <c r="I21" s="26" t="s">
        <v>124</v>
      </c>
      <c r="J21" s="3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75"/>
      <c r="B22" s="47"/>
      <c r="C22" s="30"/>
      <c r="D22" s="35"/>
      <c r="E22" s="37"/>
      <c r="F22" s="126" t="s">
        <v>325</v>
      </c>
      <c r="G22" s="26"/>
      <c r="H22" s="26">
        <v>1</v>
      </c>
      <c r="I22" s="26" t="s">
        <v>124</v>
      </c>
      <c r="J22" s="3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75"/>
      <c r="B23" s="47"/>
      <c r="C23" s="30"/>
      <c r="D23" s="35"/>
      <c r="E23" s="37" t="s">
        <v>318</v>
      </c>
      <c r="F23" s="126"/>
      <c r="G23" s="26"/>
      <c r="H23" s="26">
        <v>1</v>
      </c>
      <c r="I23" s="26" t="s">
        <v>124</v>
      </c>
      <c r="J23" s="3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75"/>
      <c r="B24" s="47"/>
      <c r="C24" s="30"/>
      <c r="D24" s="35"/>
      <c r="E24" s="37" t="s">
        <v>319</v>
      </c>
      <c r="F24" s="126"/>
      <c r="G24" s="26"/>
      <c r="H24" s="26">
        <v>1</v>
      </c>
      <c r="I24" s="26" t="s">
        <v>124</v>
      </c>
      <c r="J24" s="3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76"/>
      <c r="B25" s="47"/>
      <c r="C25" s="30"/>
      <c r="D25" s="35"/>
      <c r="E25" s="37" t="s">
        <v>320</v>
      </c>
      <c r="F25" s="126"/>
      <c r="G25" s="26"/>
      <c r="H25" s="26">
        <v>1</v>
      </c>
      <c r="I25" s="26" t="s">
        <v>124</v>
      </c>
      <c r="J25" s="3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74" t="s">
        <v>390</v>
      </c>
      <c r="B26" s="47"/>
      <c r="C26" s="30"/>
      <c r="D26" s="125" t="s">
        <v>314</v>
      </c>
      <c r="E26" s="125" t="s">
        <v>326</v>
      </c>
      <c r="F26" s="126"/>
      <c r="G26" s="26"/>
      <c r="H26" s="26">
        <v>1</v>
      </c>
      <c r="I26" s="26" t="s">
        <v>119</v>
      </c>
      <c r="J26" s="3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75"/>
      <c r="B27" s="47"/>
      <c r="C27" s="30"/>
      <c r="D27" s="125"/>
      <c r="E27" s="125" t="s">
        <v>10</v>
      </c>
      <c r="F27" s="126" t="s">
        <v>327</v>
      </c>
      <c r="G27" s="26"/>
      <c r="H27" s="26"/>
      <c r="I27" s="26" t="s">
        <v>119</v>
      </c>
      <c r="J27" s="3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75"/>
      <c r="B28" s="47"/>
      <c r="C28" s="30"/>
      <c r="D28" s="35"/>
      <c r="E28" s="125"/>
      <c r="F28" s="126" t="s">
        <v>329</v>
      </c>
      <c r="G28" s="26"/>
      <c r="H28" s="26">
        <v>1</v>
      </c>
      <c r="I28" s="26" t="s">
        <v>119</v>
      </c>
      <c r="J28" s="3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75"/>
      <c r="B29" s="47"/>
      <c r="C29" s="30"/>
      <c r="D29" s="35"/>
      <c r="E29" s="125"/>
      <c r="F29" s="126" t="s">
        <v>330</v>
      </c>
      <c r="G29" s="26"/>
      <c r="H29" s="26">
        <v>1</v>
      </c>
      <c r="I29" s="26" t="s">
        <v>119</v>
      </c>
      <c r="J29" s="3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75"/>
      <c r="B30" s="47"/>
      <c r="C30" s="30"/>
      <c r="D30" s="125"/>
      <c r="E30" s="125"/>
      <c r="F30" s="126" t="s">
        <v>417</v>
      </c>
      <c r="G30" s="26"/>
      <c r="H30" s="26"/>
      <c r="I30" s="26" t="s">
        <v>119</v>
      </c>
      <c r="J30" s="3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75"/>
      <c r="B31" s="47"/>
      <c r="C31" s="30"/>
      <c r="D31" s="125"/>
      <c r="E31" s="125"/>
      <c r="F31" s="126" t="s">
        <v>332</v>
      </c>
      <c r="G31" s="26"/>
      <c r="H31" s="26">
        <v>1</v>
      </c>
      <c r="I31" s="26" t="s">
        <v>119</v>
      </c>
      <c r="J31" s="3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75"/>
      <c r="B32" s="47"/>
      <c r="C32" s="30"/>
      <c r="D32" s="35"/>
      <c r="E32" s="125"/>
      <c r="F32" s="126" t="s">
        <v>418</v>
      </c>
      <c r="G32" s="26"/>
      <c r="H32" s="26">
        <v>1</v>
      </c>
      <c r="I32" s="26" t="s">
        <v>119</v>
      </c>
      <c r="J32" s="3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75"/>
      <c r="B33" s="47"/>
      <c r="C33" s="193"/>
      <c r="D33" s="194"/>
      <c r="E33" s="195"/>
      <c r="F33" s="196" t="s">
        <v>419</v>
      </c>
      <c r="G33" s="26"/>
      <c r="H33" s="26">
        <v>1</v>
      </c>
      <c r="I33" s="26" t="s">
        <v>119</v>
      </c>
      <c r="J33" s="3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75"/>
      <c r="B34" s="47"/>
      <c r="C34" s="193"/>
      <c r="D34" s="194"/>
      <c r="E34" s="195"/>
      <c r="F34" s="196" t="s">
        <v>333</v>
      </c>
      <c r="G34" s="26"/>
      <c r="H34" s="26"/>
      <c r="I34" s="26" t="s">
        <v>119</v>
      </c>
      <c r="J34" s="3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75"/>
      <c r="B35" s="47"/>
      <c r="C35" s="193"/>
      <c r="D35" s="195"/>
      <c r="E35" s="195"/>
      <c r="F35" s="196" t="s">
        <v>403</v>
      </c>
      <c r="G35" s="26"/>
      <c r="H35" s="26">
        <v>1</v>
      </c>
      <c r="I35" s="26" t="s">
        <v>119</v>
      </c>
      <c r="J35" s="3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75"/>
      <c r="B36" s="47"/>
      <c r="C36" s="193"/>
      <c r="D36" s="194"/>
      <c r="E36" s="195"/>
      <c r="F36" s="196" t="s">
        <v>401</v>
      </c>
      <c r="G36" s="26"/>
      <c r="H36" s="26">
        <v>1</v>
      </c>
      <c r="I36" s="26" t="s">
        <v>119</v>
      </c>
      <c r="J36" s="3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75"/>
      <c r="B37" s="47"/>
      <c r="C37" s="193"/>
      <c r="D37" s="194"/>
      <c r="E37" s="195"/>
      <c r="F37" s="196" t="s">
        <v>402</v>
      </c>
      <c r="G37" s="26"/>
      <c r="H37" s="26">
        <v>1</v>
      </c>
      <c r="I37" s="26" t="s">
        <v>119</v>
      </c>
      <c r="J37" s="3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75"/>
      <c r="B38" s="47"/>
      <c r="C38" s="193"/>
      <c r="D38" s="194"/>
      <c r="E38" s="195"/>
      <c r="F38" s="196" t="s">
        <v>400</v>
      </c>
      <c r="G38" s="26"/>
      <c r="H38" s="26">
        <v>1</v>
      </c>
      <c r="I38" s="26" t="s">
        <v>119</v>
      </c>
      <c r="J38" s="3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75"/>
      <c r="B39" s="47"/>
      <c r="C39" s="30"/>
      <c r="D39" s="35"/>
      <c r="E39" s="125"/>
      <c r="F39" s="126" t="s">
        <v>328</v>
      </c>
      <c r="G39" s="26"/>
      <c r="H39" s="26"/>
      <c r="I39" s="26" t="s">
        <v>119</v>
      </c>
      <c r="J39" s="3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75"/>
      <c r="B40" s="47"/>
      <c r="C40" s="30"/>
      <c r="D40" s="125"/>
      <c r="E40" s="125"/>
      <c r="F40" s="126" t="s">
        <v>334</v>
      </c>
      <c r="G40" s="26"/>
      <c r="H40" s="26">
        <v>1</v>
      </c>
      <c r="I40" s="26" t="s">
        <v>119</v>
      </c>
      <c r="J40" s="3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75"/>
      <c r="B41" s="47"/>
      <c r="C41" s="30"/>
      <c r="D41" s="35"/>
      <c r="E41" s="125"/>
      <c r="F41" s="126" t="s">
        <v>335</v>
      </c>
      <c r="G41" s="26"/>
      <c r="H41" s="26">
        <v>1</v>
      </c>
      <c r="I41" s="26" t="s">
        <v>119</v>
      </c>
      <c r="J41" s="3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76"/>
      <c r="B42" s="47"/>
      <c r="C42" s="30"/>
      <c r="D42" s="35"/>
      <c r="E42" s="125"/>
      <c r="F42" s="126" t="s">
        <v>336</v>
      </c>
      <c r="G42" s="26"/>
      <c r="H42" s="26">
        <v>1</v>
      </c>
      <c r="I42" s="26" t="s">
        <v>119</v>
      </c>
      <c r="J42" s="3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74" t="s">
        <v>391</v>
      </c>
      <c r="B43" s="47"/>
      <c r="C43" s="30"/>
      <c r="D43" s="125" t="s">
        <v>315</v>
      </c>
      <c r="E43" s="37" t="s">
        <v>11</v>
      </c>
      <c r="F43" s="50"/>
      <c r="G43" s="33"/>
      <c r="H43" s="33">
        <v>1</v>
      </c>
      <c r="I43" s="26" t="s">
        <v>124</v>
      </c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75"/>
      <c r="B44" s="47"/>
      <c r="C44" s="30"/>
      <c r="D44" s="35"/>
      <c r="E44" s="37" t="s">
        <v>12</v>
      </c>
      <c r="F44" s="50"/>
      <c r="G44" s="33"/>
      <c r="H44" s="33">
        <v>1</v>
      </c>
      <c r="I44" s="26" t="s">
        <v>124</v>
      </c>
      <c r="J44" s="3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75"/>
      <c r="B45" s="47"/>
      <c r="C45" s="30"/>
      <c r="D45" s="35"/>
      <c r="E45" s="37" t="s">
        <v>13</v>
      </c>
      <c r="F45" s="50"/>
      <c r="G45" s="33"/>
      <c r="H45" s="33">
        <v>1</v>
      </c>
      <c r="I45" s="26" t="s">
        <v>124</v>
      </c>
      <c r="J45" s="3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75"/>
      <c r="B46" s="47"/>
      <c r="C46" s="30"/>
      <c r="D46" s="35"/>
      <c r="E46" s="37" t="s">
        <v>14</v>
      </c>
      <c r="F46" s="50" t="s">
        <v>15</v>
      </c>
      <c r="G46" s="33"/>
      <c r="H46" s="33">
        <v>1</v>
      </c>
      <c r="I46" s="26" t="s">
        <v>124</v>
      </c>
      <c r="J46" s="3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75"/>
      <c r="B47" s="47"/>
      <c r="C47" s="30"/>
      <c r="D47" s="35"/>
      <c r="E47" s="37"/>
      <c r="F47" s="50" t="s">
        <v>16</v>
      </c>
      <c r="G47" s="33"/>
      <c r="H47" s="33">
        <v>1</v>
      </c>
      <c r="I47" s="26" t="s">
        <v>124</v>
      </c>
      <c r="J47" s="3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75"/>
      <c r="B48" s="47"/>
      <c r="C48" s="30"/>
      <c r="D48" s="35"/>
      <c r="E48" s="37"/>
      <c r="F48" s="50" t="s">
        <v>17</v>
      </c>
      <c r="G48" s="33"/>
      <c r="H48" s="33">
        <v>1</v>
      </c>
      <c r="I48" s="26" t="s">
        <v>124</v>
      </c>
      <c r="J48" s="3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75"/>
      <c r="B49" s="47"/>
      <c r="C49" s="49"/>
      <c r="D49" s="36"/>
      <c r="E49" s="37"/>
      <c r="F49" s="50" t="s">
        <v>18</v>
      </c>
      <c r="G49" s="33"/>
      <c r="H49" s="33">
        <v>1</v>
      </c>
      <c r="I49" s="26" t="s">
        <v>124</v>
      </c>
      <c r="J49" s="5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75"/>
      <c r="B50" s="47"/>
      <c r="C50" s="49"/>
      <c r="D50" s="36"/>
      <c r="E50" s="37"/>
      <c r="F50" s="50" t="s">
        <v>19</v>
      </c>
      <c r="G50" s="33"/>
      <c r="H50" s="33">
        <v>1</v>
      </c>
      <c r="I50" s="26" t="s">
        <v>124</v>
      </c>
      <c r="J50" s="5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76"/>
      <c r="B51" s="47"/>
      <c r="C51" s="52"/>
      <c r="D51" s="36"/>
      <c r="E51" s="37" t="s">
        <v>126</v>
      </c>
      <c r="F51" s="50"/>
      <c r="G51" s="33"/>
      <c r="H51" s="33">
        <v>2</v>
      </c>
      <c r="I51" s="26" t="s">
        <v>124</v>
      </c>
      <c r="J51" s="5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56"/>
      <c r="B52" s="57"/>
      <c r="C52" s="58" t="s">
        <v>339</v>
      </c>
      <c r="D52" s="59"/>
      <c r="E52" s="60"/>
      <c r="F52" s="61"/>
      <c r="G52" s="62"/>
      <c r="H52" s="45">
        <f>SUM(H53:H77)</f>
        <v>58</v>
      </c>
      <c r="I52" s="45"/>
      <c r="J52" s="4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84" t="s">
        <v>392</v>
      </c>
      <c r="B53" s="47"/>
      <c r="C53" s="22"/>
      <c r="D53" s="23" t="s">
        <v>396</v>
      </c>
      <c r="E53" s="125" t="s">
        <v>21</v>
      </c>
      <c r="F53" s="126" t="s">
        <v>22</v>
      </c>
      <c r="G53" s="26"/>
      <c r="H53" s="152">
        <v>1</v>
      </c>
      <c r="I53" s="26" t="s">
        <v>135</v>
      </c>
      <c r="J53" s="2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85"/>
      <c r="B54" s="47"/>
      <c r="C54" s="49"/>
      <c r="D54" s="35"/>
      <c r="E54" s="125" t="s">
        <v>20</v>
      </c>
      <c r="F54" s="126" t="s">
        <v>23</v>
      </c>
      <c r="G54" s="26"/>
      <c r="H54" s="153">
        <v>6</v>
      </c>
      <c r="I54" s="26" t="s">
        <v>135</v>
      </c>
      <c r="J54" s="5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85"/>
      <c r="B55" s="47"/>
      <c r="C55" s="49"/>
      <c r="D55" s="35"/>
      <c r="E55" s="125"/>
      <c r="F55" s="126" t="s">
        <v>24</v>
      </c>
      <c r="G55" s="26"/>
      <c r="H55" s="153">
        <v>3</v>
      </c>
      <c r="I55" s="26" t="s">
        <v>135</v>
      </c>
      <c r="J55" s="5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85"/>
      <c r="B56" s="47"/>
      <c r="C56" s="49"/>
      <c r="D56" s="35"/>
      <c r="E56" s="125"/>
      <c r="F56" s="126" t="s">
        <v>25</v>
      </c>
      <c r="G56" s="26"/>
      <c r="H56" s="153">
        <v>9</v>
      </c>
      <c r="I56" s="26" t="s">
        <v>135</v>
      </c>
      <c r="J56" s="5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85"/>
      <c r="B57" s="47"/>
      <c r="C57" s="49"/>
      <c r="D57" s="36"/>
      <c r="E57" s="125" t="s">
        <v>26</v>
      </c>
      <c r="F57" s="126" t="s">
        <v>27</v>
      </c>
      <c r="G57" s="26"/>
      <c r="H57" s="154">
        <v>2</v>
      </c>
      <c r="I57" s="65" t="s">
        <v>134</v>
      </c>
      <c r="J57" s="5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85"/>
      <c r="B58" s="47"/>
      <c r="C58" s="49"/>
      <c r="D58" s="36"/>
      <c r="E58" s="125"/>
      <c r="F58" s="126" t="s">
        <v>28</v>
      </c>
      <c r="G58" s="26"/>
      <c r="H58" s="154">
        <v>2</v>
      </c>
      <c r="I58" s="65" t="s">
        <v>134</v>
      </c>
      <c r="J58" s="5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85"/>
      <c r="B59" s="47"/>
      <c r="C59" s="49"/>
      <c r="D59" s="36"/>
      <c r="E59" s="125"/>
      <c r="F59" s="126" t="s">
        <v>29</v>
      </c>
      <c r="G59" s="26"/>
      <c r="H59" s="154">
        <v>2</v>
      </c>
      <c r="I59" s="65" t="s">
        <v>134</v>
      </c>
      <c r="J59" s="5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85"/>
      <c r="B60" s="47"/>
      <c r="C60" s="49"/>
      <c r="D60" s="36"/>
      <c r="E60" s="125"/>
      <c r="F60" s="126" t="s">
        <v>30</v>
      </c>
      <c r="G60" s="26"/>
      <c r="H60" s="154">
        <v>2</v>
      </c>
      <c r="I60" s="65" t="s">
        <v>134</v>
      </c>
      <c r="J60" s="5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85"/>
      <c r="B61" s="47"/>
      <c r="C61" s="49"/>
      <c r="D61" s="36"/>
      <c r="E61" s="37"/>
      <c r="F61" s="50" t="s">
        <v>31</v>
      </c>
      <c r="G61" s="26"/>
      <c r="H61" s="154">
        <v>3</v>
      </c>
      <c r="I61" s="65" t="s">
        <v>134</v>
      </c>
      <c r="J61" s="5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86"/>
      <c r="B62" s="47"/>
      <c r="C62" s="49"/>
      <c r="D62" s="36"/>
      <c r="E62" s="37"/>
      <c r="F62" s="50" t="s">
        <v>32</v>
      </c>
      <c r="G62" s="26"/>
      <c r="H62" s="154">
        <v>1</v>
      </c>
      <c r="I62" s="65" t="s">
        <v>134</v>
      </c>
      <c r="J62" s="5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84" t="s">
        <v>393</v>
      </c>
      <c r="B63" s="47"/>
      <c r="C63" s="49"/>
      <c r="D63" s="36"/>
      <c r="E63" s="37" t="s">
        <v>127</v>
      </c>
      <c r="F63" s="146" t="s">
        <v>33</v>
      </c>
      <c r="G63" s="26"/>
      <c r="H63" s="154">
        <v>1</v>
      </c>
      <c r="I63" s="26" t="s">
        <v>119</v>
      </c>
      <c r="J63" s="5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85"/>
      <c r="B64" s="47"/>
      <c r="C64" s="49"/>
      <c r="D64" s="36"/>
      <c r="E64" s="37"/>
      <c r="F64" s="50" t="s">
        <v>34</v>
      </c>
      <c r="G64" s="26"/>
      <c r="H64" s="154">
        <v>3</v>
      </c>
      <c r="I64" s="26" t="s">
        <v>119</v>
      </c>
      <c r="J64" s="5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85"/>
      <c r="B65" s="47"/>
      <c r="C65" s="49"/>
      <c r="D65" s="36"/>
      <c r="E65" s="37"/>
      <c r="F65" s="50" t="s">
        <v>35</v>
      </c>
      <c r="G65" s="26"/>
      <c r="H65" s="154">
        <v>2</v>
      </c>
      <c r="I65" s="26" t="s">
        <v>119</v>
      </c>
      <c r="J65" s="5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85"/>
      <c r="B66" s="47"/>
      <c r="C66" s="49"/>
      <c r="D66" s="36"/>
      <c r="E66" s="37"/>
      <c r="F66" s="48" t="s">
        <v>36</v>
      </c>
      <c r="G66" s="26"/>
      <c r="H66" s="154">
        <v>2</v>
      </c>
      <c r="I66" s="26" t="s">
        <v>119</v>
      </c>
      <c r="J66" s="5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85"/>
      <c r="B67" s="47"/>
      <c r="C67" s="49"/>
      <c r="D67" s="36"/>
      <c r="E67" s="37"/>
      <c r="F67" s="48" t="s">
        <v>123</v>
      </c>
      <c r="G67" s="26"/>
      <c r="H67" s="154">
        <v>2</v>
      </c>
      <c r="I67" s="155" t="s">
        <v>135</v>
      </c>
      <c r="J67" s="51" t="s">
        <v>408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85"/>
      <c r="B68" s="47"/>
      <c r="C68" s="49"/>
      <c r="D68" s="36"/>
      <c r="E68" s="37"/>
      <c r="F68" s="50" t="s">
        <v>122</v>
      </c>
      <c r="G68" s="26"/>
      <c r="H68" s="154">
        <v>2</v>
      </c>
      <c r="I68" s="26" t="s">
        <v>119</v>
      </c>
      <c r="J68" s="5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85"/>
      <c r="B69" s="47"/>
      <c r="C69" s="49"/>
      <c r="D69" s="36"/>
      <c r="E69" s="37"/>
      <c r="F69" s="48" t="s">
        <v>121</v>
      </c>
      <c r="G69" s="26"/>
      <c r="H69" s="152">
        <v>1</v>
      </c>
      <c r="I69" s="26" t="s">
        <v>119</v>
      </c>
      <c r="J69" s="5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84" t="s">
        <v>394</v>
      </c>
      <c r="B70" s="47"/>
      <c r="C70" s="52"/>
      <c r="D70" s="36"/>
      <c r="E70" s="37" t="s">
        <v>128</v>
      </c>
      <c r="F70" s="50" t="s">
        <v>37</v>
      </c>
      <c r="G70" s="26"/>
      <c r="H70" s="154">
        <v>3</v>
      </c>
      <c r="I70" s="26" t="s">
        <v>124</v>
      </c>
      <c r="J70" s="5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85"/>
      <c r="B71" s="47"/>
      <c r="C71" s="52"/>
      <c r="D71" s="35"/>
      <c r="E71" s="37"/>
      <c r="F71" s="50" t="s">
        <v>38</v>
      </c>
      <c r="G71" s="26"/>
      <c r="H71" s="154">
        <v>2</v>
      </c>
      <c r="I71" s="26" t="s">
        <v>124</v>
      </c>
      <c r="J71" s="6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85"/>
      <c r="B72" s="47"/>
      <c r="C72" s="52"/>
      <c r="D72" s="23"/>
      <c r="E72" s="37"/>
      <c r="F72" s="50" t="s">
        <v>39</v>
      </c>
      <c r="G72" s="26"/>
      <c r="H72" s="154">
        <v>3</v>
      </c>
      <c r="I72" s="26" t="s">
        <v>124</v>
      </c>
      <c r="J72" s="5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85"/>
      <c r="B73" s="47"/>
      <c r="C73" s="52"/>
      <c r="D73" s="36"/>
      <c r="E73" s="37"/>
      <c r="F73" s="50" t="s">
        <v>40</v>
      </c>
      <c r="G73" s="26"/>
      <c r="H73" s="154">
        <v>3</v>
      </c>
      <c r="I73" s="26" t="s">
        <v>124</v>
      </c>
      <c r="J73" s="5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85"/>
      <c r="B74" s="47"/>
      <c r="C74" s="52"/>
      <c r="D74" s="36"/>
      <c r="E74" s="37"/>
      <c r="F74" s="50" t="s">
        <v>41</v>
      </c>
      <c r="G74" s="26"/>
      <c r="H74" s="65">
        <v>1</v>
      </c>
      <c r="I74" s="26" t="s">
        <v>124</v>
      </c>
      <c r="J74" s="5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86"/>
      <c r="B75" s="47"/>
      <c r="C75" s="52"/>
      <c r="D75" s="36"/>
      <c r="E75" s="37"/>
      <c r="F75" s="50" t="s">
        <v>395</v>
      </c>
      <c r="G75" s="26"/>
      <c r="H75" s="26">
        <v>1</v>
      </c>
      <c r="I75" s="26" t="s">
        <v>124</v>
      </c>
      <c r="J75" s="5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54" t="s">
        <v>398</v>
      </c>
      <c r="B76" s="47"/>
      <c r="C76" s="49"/>
      <c r="D76" s="36" t="s">
        <v>397</v>
      </c>
      <c r="E76" s="37"/>
      <c r="F76" s="50"/>
      <c r="G76" s="26"/>
      <c r="H76" s="65">
        <v>1</v>
      </c>
      <c r="I76" s="26" t="s">
        <v>124</v>
      </c>
      <c r="J76" s="5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47"/>
      <c r="B77" s="47"/>
      <c r="C77" s="49"/>
      <c r="D77" s="36"/>
      <c r="E77" s="37"/>
      <c r="F77" s="50"/>
      <c r="G77" s="33"/>
      <c r="H77" s="33"/>
      <c r="I77" s="33"/>
      <c r="J77" s="5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56"/>
      <c r="B78" s="57"/>
      <c r="C78" s="58" t="s">
        <v>337</v>
      </c>
      <c r="D78" s="59"/>
      <c r="E78" s="60"/>
      <c r="F78" s="61" t="s">
        <v>20</v>
      </c>
      <c r="G78" s="62"/>
      <c r="H78" s="62">
        <f>SUM(H79:H87)</f>
        <v>9</v>
      </c>
      <c r="I78" s="62"/>
      <c r="J78" s="6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54" t="s">
        <v>378</v>
      </c>
      <c r="B79" s="64"/>
      <c r="C79" s="22"/>
      <c r="D79" s="23" t="s">
        <v>338</v>
      </c>
      <c r="E79" s="125" t="s">
        <v>340</v>
      </c>
      <c r="F79" s="126"/>
      <c r="G79" s="26"/>
      <c r="H79" s="26">
        <v>1</v>
      </c>
      <c r="I79" s="65" t="s">
        <v>134</v>
      </c>
      <c r="J79" s="5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51"/>
      <c r="B80" s="67"/>
      <c r="C80" s="30"/>
      <c r="D80" s="35"/>
      <c r="E80" s="125" t="s">
        <v>341</v>
      </c>
      <c r="F80" s="126"/>
      <c r="G80" s="26"/>
      <c r="H80" s="141">
        <v>1</v>
      </c>
      <c r="I80" s="65" t="s">
        <v>134</v>
      </c>
      <c r="J80" s="6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51"/>
      <c r="B81" s="67"/>
      <c r="C81" s="30"/>
      <c r="D81" s="35"/>
      <c r="E81" s="125" t="s">
        <v>342</v>
      </c>
      <c r="F81" s="126"/>
      <c r="G81" s="26"/>
      <c r="H81" s="141">
        <v>1</v>
      </c>
      <c r="I81" s="65" t="s">
        <v>134</v>
      </c>
      <c r="J81" s="6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51"/>
      <c r="B82" s="67"/>
      <c r="C82" s="30"/>
      <c r="D82" s="35"/>
      <c r="E82" s="125" t="s">
        <v>343</v>
      </c>
      <c r="F82" s="126"/>
      <c r="G82" s="26"/>
      <c r="H82" s="141">
        <v>1</v>
      </c>
      <c r="I82" s="65" t="s">
        <v>134</v>
      </c>
      <c r="J82" s="6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51"/>
      <c r="B83" s="67"/>
      <c r="C83" s="30"/>
      <c r="D83" s="35"/>
      <c r="E83" s="125" t="s">
        <v>344</v>
      </c>
      <c r="F83" s="126"/>
      <c r="G83" s="26"/>
      <c r="H83" s="141">
        <v>1</v>
      </c>
      <c r="I83" s="65" t="s">
        <v>134</v>
      </c>
      <c r="J83" s="6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51"/>
      <c r="B84" s="67"/>
      <c r="C84" s="30"/>
      <c r="D84" s="35" t="s">
        <v>409</v>
      </c>
      <c r="E84" s="125" t="s">
        <v>410</v>
      </c>
      <c r="F84" s="126"/>
      <c r="G84" s="26"/>
      <c r="H84" s="141">
        <v>1</v>
      </c>
      <c r="I84" s="65" t="s">
        <v>134</v>
      </c>
      <c r="J84" s="6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51"/>
      <c r="B85" s="67"/>
      <c r="C85" s="30"/>
      <c r="D85" s="35"/>
      <c r="E85" s="125" t="s">
        <v>411</v>
      </c>
      <c r="F85" s="126"/>
      <c r="G85" s="26"/>
      <c r="H85" s="141">
        <v>1</v>
      </c>
      <c r="I85" s="65" t="s">
        <v>134</v>
      </c>
      <c r="J85" s="6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51"/>
      <c r="B86" s="145"/>
      <c r="C86" s="49"/>
      <c r="D86" s="36"/>
      <c r="E86" s="125" t="s">
        <v>412</v>
      </c>
      <c r="F86" s="126"/>
      <c r="G86" s="26"/>
      <c r="H86" s="141">
        <v>1</v>
      </c>
      <c r="I86" s="65" t="s">
        <v>134</v>
      </c>
      <c r="J86" s="6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47"/>
      <c r="B87" s="145"/>
      <c r="C87" s="49"/>
      <c r="D87" s="36" t="s">
        <v>20</v>
      </c>
      <c r="E87" s="37" t="s">
        <v>413</v>
      </c>
      <c r="F87" s="50"/>
      <c r="G87" s="26"/>
      <c r="H87" s="141">
        <v>1</v>
      </c>
      <c r="I87" s="65" t="s">
        <v>134</v>
      </c>
      <c r="J87" s="5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69"/>
      <c r="B88" s="57"/>
      <c r="C88" s="58" t="s">
        <v>120</v>
      </c>
      <c r="D88" s="59"/>
      <c r="E88" s="60"/>
      <c r="F88" s="61"/>
      <c r="G88" s="62"/>
      <c r="H88" s="62">
        <f>SUM(H89:H102)</f>
        <v>14</v>
      </c>
      <c r="I88" s="62"/>
      <c r="J88" s="6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20"/>
      <c r="B89" s="64"/>
      <c r="C89" s="22"/>
      <c r="D89" s="23" t="s">
        <v>49</v>
      </c>
      <c r="E89" s="24" t="s">
        <v>50</v>
      </c>
      <c r="F89" s="48"/>
      <c r="G89" s="26"/>
      <c r="H89" s="26">
        <v>1</v>
      </c>
      <c r="I89" s="26" t="s">
        <v>407</v>
      </c>
      <c r="J89" s="2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28"/>
      <c r="B90" s="67"/>
      <c r="C90" s="30"/>
      <c r="D90" s="35"/>
      <c r="E90" s="31" t="s">
        <v>51</v>
      </c>
      <c r="F90" s="38"/>
      <c r="G90" s="26"/>
      <c r="H90" s="26">
        <v>1</v>
      </c>
      <c r="I90" s="26" t="s">
        <v>407</v>
      </c>
      <c r="J90" s="3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66"/>
      <c r="B91" s="67"/>
      <c r="C91" s="30"/>
      <c r="D91" s="35"/>
      <c r="E91" s="31" t="s">
        <v>52</v>
      </c>
      <c r="F91" s="38"/>
      <c r="G91" s="26"/>
      <c r="H91" s="26">
        <v>1</v>
      </c>
      <c r="I91" s="26" t="s">
        <v>407</v>
      </c>
      <c r="J91" s="3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66"/>
      <c r="B92" s="67"/>
      <c r="C92" s="30"/>
      <c r="D92" s="35"/>
      <c r="E92" s="31" t="s">
        <v>53</v>
      </c>
      <c r="F92" s="38"/>
      <c r="G92" s="26"/>
      <c r="H92" s="26">
        <v>1</v>
      </c>
      <c r="I92" s="26" t="s">
        <v>407</v>
      </c>
      <c r="J92" s="3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66"/>
      <c r="B93" s="67"/>
      <c r="C93" s="30"/>
      <c r="D93" s="35"/>
      <c r="E93" s="31" t="s">
        <v>54</v>
      </c>
      <c r="F93" s="38"/>
      <c r="G93" s="26"/>
      <c r="H93" s="26">
        <v>1</v>
      </c>
      <c r="I93" s="26" t="s">
        <v>407</v>
      </c>
      <c r="J93" s="3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54" t="s">
        <v>380</v>
      </c>
      <c r="B94" s="67"/>
      <c r="C94" s="30"/>
      <c r="D94" s="35"/>
      <c r="E94" s="31" t="s">
        <v>55</v>
      </c>
      <c r="F94" s="38"/>
      <c r="G94" s="26"/>
      <c r="H94" s="26">
        <v>1</v>
      </c>
      <c r="I94" s="26" t="s">
        <v>407</v>
      </c>
      <c r="J94" s="3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66"/>
      <c r="B95" s="67"/>
      <c r="C95" s="30"/>
      <c r="D95" s="35"/>
      <c r="E95" s="31" t="s">
        <v>57</v>
      </c>
      <c r="F95" s="38"/>
      <c r="G95" s="26"/>
      <c r="H95" s="26">
        <v>1</v>
      </c>
      <c r="I95" s="26" t="s">
        <v>407</v>
      </c>
      <c r="J95" s="3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66"/>
      <c r="B96" s="67"/>
      <c r="C96" s="30"/>
      <c r="D96" s="35"/>
      <c r="E96" s="31" t="s">
        <v>59</v>
      </c>
      <c r="F96" s="38"/>
      <c r="G96" s="26"/>
      <c r="H96" s="26">
        <v>1</v>
      </c>
      <c r="I96" s="26" t="s">
        <v>407</v>
      </c>
      <c r="J96" s="3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66"/>
      <c r="B97" s="67"/>
      <c r="C97" s="30"/>
      <c r="D97" s="35"/>
      <c r="E97" s="31" t="s">
        <v>60</v>
      </c>
      <c r="F97" s="38"/>
      <c r="G97" s="26"/>
      <c r="H97" s="26">
        <v>1</v>
      </c>
      <c r="I97" s="26" t="s">
        <v>407</v>
      </c>
      <c r="J97" s="3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66"/>
      <c r="B98" s="67"/>
      <c r="C98" s="30"/>
      <c r="D98" s="35"/>
      <c r="E98" s="31" t="s">
        <v>61</v>
      </c>
      <c r="F98" s="38"/>
      <c r="G98" s="26"/>
      <c r="H98" s="26">
        <v>1</v>
      </c>
      <c r="I98" s="26" t="s">
        <v>407</v>
      </c>
      <c r="J98" s="7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66"/>
      <c r="B99" s="67"/>
      <c r="C99" s="30"/>
      <c r="D99" s="35"/>
      <c r="E99" s="31" t="s">
        <v>62</v>
      </c>
      <c r="F99" s="38"/>
      <c r="G99" s="26"/>
      <c r="H99" s="26">
        <v>2</v>
      </c>
      <c r="I99" s="26" t="s">
        <v>407</v>
      </c>
      <c r="J99" s="1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84" t="s">
        <v>399</v>
      </c>
      <c r="B100" s="67"/>
      <c r="C100" s="30"/>
      <c r="D100" s="36" t="s">
        <v>345</v>
      </c>
      <c r="E100" s="31" t="s">
        <v>63</v>
      </c>
      <c r="F100" s="38"/>
      <c r="G100" s="26"/>
      <c r="H100" s="26">
        <v>1</v>
      </c>
      <c r="I100" s="26" t="s">
        <v>407</v>
      </c>
      <c r="J100" s="2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86"/>
      <c r="B101" s="67"/>
      <c r="C101" s="30"/>
      <c r="D101" s="36"/>
      <c r="E101" s="31" t="s">
        <v>64</v>
      </c>
      <c r="F101" s="38"/>
      <c r="G101" s="26"/>
      <c r="H101" s="26">
        <v>1</v>
      </c>
      <c r="I101" s="26" t="s">
        <v>407</v>
      </c>
      <c r="J101" s="2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66"/>
      <c r="B102" s="67"/>
      <c r="C102" s="30"/>
      <c r="D102" s="36"/>
      <c r="E102" s="125" t="s">
        <v>20</v>
      </c>
      <c r="F102" s="126"/>
      <c r="G102" s="26"/>
      <c r="H102" s="26"/>
      <c r="I102" s="26"/>
      <c r="J102" s="12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>
      <c r="A103" s="56"/>
      <c r="B103" s="57"/>
      <c r="C103" s="58" t="s">
        <v>68</v>
      </c>
      <c r="D103" s="59"/>
      <c r="E103" s="60"/>
      <c r="F103" s="61"/>
      <c r="G103" s="62"/>
      <c r="H103" s="62">
        <f>SUM(H104:H129)</f>
        <v>24</v>
      </c>
      <c r="I103" s="62"/>
      <c r="J103" s="6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84" t="s">
        <v>378</v>
      </c>
      <c r="B104" s="64"/>
      <c r="C104" s="22"/>
      <c r="D104" s="23" t="s">
        <v>346</v>
      </c>
      <c r="E104" s="24" t="s">
        <v>69</v>
      </c>
      <c r="F104" s="48"/>
      <c r="G104" s="26"/>
      <c r="H104" s="26">
        <v>1</v>
      </c>
      <c r="I104" s="26" t="s">
        <v>407</v>
      </c>
      <c r="J104" s="2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85"/>
      <c r="B105" s="67"/>
      <c r="C105" s="30"/>
      <c r="D105" s="35"/>
      <c r="E105" s="31" t="s">
        <v>71</v>
      </c>
      <c r="F105" s="38"/>
      <c r="G105" s="26"/>
      <c r="H105" s="65">
        <v>1</v>
      </c>
      <c r="I105" s="26" t="s">
        <v>407</v>
      </c>
      <c r="J105" s="3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85"/>
      <c r="B106" s="67"/>
      <c r="C106" s="30"/>
      <c r="D106" s="35"/>
      <c r="E106" s="31" t="s">
        <v>72</v>
      </c>
      <c r="F106" s="38"/>
      <c r="G106" s="26"/>
      <c r="H106" s="26">
        <v>1</v>
      </c>
      <c r="I106" s="26" t="s">
        <v>407</v>
      </c>
      <c r="J106" s="3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85"/>
      <c r="B107" s="67"/>
      <c r="C107" s="30"/>
      <c r="D107" s="35"/>
      <c r="E107" s="31" t="s">
        <v>73</v>
      </c>
      <c r="F107" s="38"/>
      <c r="G107" s="26"/>
      <c r="H107" s="65">
        <v>1</v>
      </c>
      <c r="I107" s="26" t="s">
        <v>407</v>
      </c>
      <c r="J107" s="3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86"/>
      <c r="B108" s="67"/>
      <c r="C108" s="30"/>
      <c r="D108" s="35"/>
      <c r="E108" s="31" t="s">
        <v>74</v>
      </c>
      <c r="F108" s="38"/>
      <c r="G108" s="26"/>
      <c r="H108" s="26">
        <v>1</v>
      </c>
      <c r="I108" s="26" t="s">
        <v>407</v>
      </c>
      <c r="J108" s="3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84" t="s">
        <v>375</v>
      </c>
      <c r="B109" s="67"/>
      <c r="C109" s="30"/>
      <c r="D109" s="35" t="s">
        <v>348</v>
      </c>
      <c r="E109" s="24" t="s">
        <v>352</v>
      </c>
      <c r="F109" s="38"/>
      <c r="G109" s="26"/>
      <c r="H109" s="65">
        <v>1</v>
      </c>
      <c r="I109" s="26" t="s">
        <v>407</v>
      </c>
      <c r="J109" s="2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85"/>
      <c r="B110" s="67"/>
      <c r="C110" s="30"/>
      <c r="D110" s="35"/>
      <c r="E110" s="31" t="s">
        <v>353</v>
      </c>
      <c r="F110" s="38"/>
      <c r="G110" s="26"/>
      <c r="H110" s="26">
        <v>1</v>
      </c>
      <c r="I110" s="26" t="s">
        <v>407</v>
      </c>
      <c r="J110" s="3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85"/>
      <c r="B111" s="67"/>
      <c r="C111" s="30"/>
      <c r="D111" s="35"/>
      <c r="E111" s="31" t="s">
        <v>354</v>
      </c>
      <c r="F111" s="38"/>
      <c r="G111" s="26"/>
      <c r="H111" s="65">
        <v>1</v>
      </c>
      <c r="I111" s="26" t="s">
        <v>407</v>
      </c>
      <c r="J111" s="3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86"/>
      <c r="B112" s="67"/>
      <c r="C112" s="30"/>
      <c r="D112" s="35"/>
      <c r="E112" s="31" t="s">
        <v>355</v>
      </c>
      <c r="F112" s="38"/>
      <c r="G112" s="26"/>
      <c r="H112" s="26">
        <v>1</v>
      </c>
      <c r="I112" s="26" t="s">
        <v>407</v>
      </c>
      <c r="J112" s="3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84" t="s">
        <v>379</v>
      </c>
      <c r="B113" s="67"/>
      <c r="C113" s="30"/>
      <c r="D113" s="35" t="s">
        <v>347</v>
      </c>
      <c r="E113" s="24" t="s">
        <v>360</v>
      </c>
      <c r="F113" s="38"/>
      <c r="G113" s="26"/>
      <c r="H113" s="65">
        <v>1</v>
      </c>
      <c r="I113" s="26" t="s">
        <v>407</v>
      </c>
      <c r="J113" s="2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85"/>
      <c r="B114" s="67"/>
      <c r="C114" s="30"/>
      <c r="D114" s="35"/>
      <c r="E114" s="31" t="s">
        <v>361</v>
      </c>
      <c r="F114" s="38"/>
      <c r="G114" s="26"/>
      <c r="H114" s="26">
        <v>1</v>
      </c>
      <c r="I114" s="26" t="s">
        <v>407</v>
      </c>
      <c r="J114" s="3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85"/>
      <c r="B115" s="67"/>
      <c r="C115" s="30"/>
      <c r="D115" s="35"/>
      <c r="E115" s="31" t="s">
        <v>362</v>
      </c>
      <c r="F115" s="38"/>
      <c r="G115" s="26"/>
      <c r="H115" s="65">
        <v>1</v>
      </c>
      <c r="I115" s="26" t="s">
        <v>407</v>
      </c>
      <c r="J115" s="3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86"/>
      <c r="B116" s="67"/>
      <c r="C116" s="30"/>
      <c r="D116" s="35"/>
      <c r="E116" s="31" t="s">
        <v>363</v>
      </c>
      <c r="F116" s="38"/>
      <c r="G116" s="26"/>
      <c r="H116" s="26">
        <v>1</v>
      </c>
      <c r="I116" s="26" t="s">
        <v>407</v>
      </c>
      <c r="J116" s="3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71"/>
      <c r="B117" s="29" t="s">
        <v>376</v>
      </c>
      <c r="C117" s="148"/>
      <c r="D117" s="74" t="s">
        <v>349</v>
      </c>
      <c r="E117" s="24" t="s">
        <v>356</v>
      </c>
      <c r="F117" s="150"/>
      <c r="G117" s="26"/>
      <c r="H117" s="26">
        <v>1</v>
      </c>
      <c r="I117" s="26" t="s">
        <v>407</v>
      </c>
      <c r="J117" s="3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71"/>
      <c r="B118" s="29"/>
      <c r="C118" s="148"/>
      <c r="D118" s="149"/>
      <c r="E118" s="31" t="s">
        <v>357</v>
      </c>
      <c r="F118" s="150"/>
      <c r="G118" s="26"/>
      <c r="H118" s="26">
        <v>1</v>
      </c>
      <c r="I118" s="26" t="s">
        <v>407</v>
      </c>
      <c r="J118" s="3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71"/>
      <c r="B119" s="29"/>
      <c r="C119" s="148"/>
      <c r="D119" s="149"/>
      <c r="E119" s="31" t="s">
        <v>358</v>
      </c>
      <c r="F119" s="150"/>
      <c r="G119" s="26"/>
      <c r="H119" s="26">
        <v>1</v>
      </c>
      <c r="I119" s="26" t="s">
        <v>407</v>
      </c>
      <c r="J119" s="3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71"/>
      <c r="B120" s="29"/>
      <c r="C120" s="148"/>
      <c r="D120" s="149"/>
      <c r="E120" s="31" t="s">
        <v>359</v>
      </c>
      <c r="F120" s="150"/>
      <c r="G120" s="26"/>
      <c r="H120" s="26">
        <v>1</v>
      </c>
      <c r="I120" s="26" t="s">
        <v>407</v>
      </c>
      <c r="J120" s="3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84" t="s">
        <v>377</v>
      </c>
      <c r="B121" s="29"/>
      <c r="C121" s="148"/>
      <c r="D121" s="74" t="s">
        <v>373</v>
      </c>
      <c r="E121" s="24" t="s">
        <v>364</v>
      </c>
      <c r="F121" s="150"/>
      <c r="G121" s="26"/>
      <c r="H121" s="26">
        <v>1</v>
      </c>
      <c r="I121" s="26" t="s">
        <v>407</v>
      </c>
      <c r="J121" s="3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85"/>
      <c r="B122" s="29"/>
      <c r="C122" s="148"/>
      <c r="D122" s="149"/>
      <c r="E122" s="31" t="s">
        <v>365</v>
      </c>
      <c r="F122" s="150"/>
      <c r="G122" s="26"/>
      <c r="H122" s="26">
        <v>1</v>
      </c>
      <c r="I122" s="26" t="s">
        <v>407</v>
      </c>
      <c r="J122" s="3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86"/>
      <c r="B123" s="29"/>
      <c r="C123" s="148"/>
      <c r="D123" s="149"/>
      <c r="E123" s="31" t="s">
        <v>366</v>
      </c>
      <c r="F123" s="150"/>
      <c r="G123" s="26"/>
      <c r="H123" s="26">
        <v>1</v>
      </c>
      <c r="I123" s="26" t="s">
        <v>407</v>
      </c>
      <c r="J123" s="3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84" t="s">
        <v>374</v>
      </c>
      <c r="B124" s="29"/>
      <c r="C124" s="148"/>
      <c r="D124" s="74" t="s">
        <v>367</v>
      </c>
      <c r="E124" s="31" t="s">
        <v>371</v>
      </c>
      <c r="F124" s="150"/>
      <c r="G124" s="26"/>
      <c r="H124" s="26">
        <v>1</v>
      </c>
      <c r="I124" s="26" t="s">
        <v>407</v>
      </c>
      <c r="J124" s="3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86"/>
      <c r="B125" s="29"/>
      <c r="C125" s="148"/>
      <c r="D125" s="149"/>
      <c r="E125" s="125" t="s">
        <v>372</v>
      </c>
      <c r="F125" s="150"/>
      <c r="G125" s="26"/>
      <c r="H125" s="26">
        <v>1</v>
      </c>
      <c r="I125" s="26" t="s">
        <v>407</v>
      </c>
      <c r="J125" s="3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71"/>
      <c r="B126" s="72"/>
      <c r="C126" s="73"/>
      <c r="D126" s="74" t="s">
        <v>368</v>
      </c>
      <c r="E126" s="31" t="s">
        <v>369</v>
      </c>
      <c r="F126" s="75"/>
      <c r="G126" s="26"/>
      <c r="H126" s="26">
        <v>1</v>
      </c>
      <c r="I126" s="26" t="s">
        <v>407</v>
      </c>
      <c r="J126" s="3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71"/>
      <c r="B127" s="72"/>
      <c r="C127" s="73"/>
      <c r="D127" s="149"/>
      <c r="E127" s="125" t="s">
        <v>370</v>
      </c>
      <c r="F127" s="75"/>
      <c r="G127" s="26"/>
      <c r="H127" s="26">
        <v>1</v>
      </c>
      <c r="I127" s="26" t="s">
        <v>407</v>
      </c>
      <c r="J127" s="3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71"/>
      <c r="B128" s="72"/>
      <c r="C128" s="73"/>
      <c r="D128" s="74"/>
      <c r="E128" s="24"/>
      <c r="F128" s="75"/>
      <c r="G128" s="26"/>
      <c r="H128" s="65"/>
      <c r="I128" s="26"/>
      <c r="J128" s="3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71"/>
      <c r="B129" s="72"/>
      <c r="C129" s="73"/>
      <c r="D129" s="74" t="s">
        <v>20</v>
      </c>
      <c r="E129" s="24"/>
      <c r="F129" s="75"/>
      <c r="G129" s="26"/>
      <c r="H129" s="26"/>
      <c r="I129" s="26"/>
      <c r="J129" s="3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>
      <c r="A130" s="56"/>
      <c r="B130" s="57"/>
      <c r="C130" s="58" t="s">
        <v>77</v>
      </c>
      <c r="D130" s="59"/>
      <c r="E130" s="60"/>
      <c r="F130" s="61"/>
      <c r="G130" s="62"/>
      <c r="H130" s="62">
        <f>SUM(H131:H135)</f>
        <v>7</v>
      </c>
      <c r="I130" s="62"/>
      <c r="J130" s="6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54" t="s">
        <v>384</v>
      </c>
      <c r="B131" s="64"/>
      <c r="C131" s="22"/>
      <c r="D131" s="23" t="s">
        <v>383</v>
      </c>
      <c r="E131" s="126"/>
      <c r="F131" s="48"/>
      <c r="G131" s="26"/>
      <c r="H131" s="26">
        <v>1</v>
      </c>
      <c r="I131" s="26" t="s">
        <v>119</v>
      </c>
      <c r="J131" s="143" t="s">
        <v>385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4">
      <c r="A132" s="142"/>
      <c r="B132" s="67"/>
      <c r="C132" s="30"/>
      <c r="D132" s="23" t="s">
        <v>382</v>
      </c>
      <c r="E132" s="126" t="s">
        <v>386</v>
      </c>
      <c r="F132" s="126"/>
      <c r="G132" s="26"/>
      <c r="H132" s="26">
        <v>2</v>
      </c>
      <c r="I132" s="141" t="s">
        <v>119</v>
      </c>
      <c r="J132" s="143" t="s">
        <v>350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4">
      <c r="A133" s="142"/>
      <c r="B133" s="67"/>
      <c r="C133" s="30"/>
      <c r="D133" s="23"/>
      <c r="E133" s="126" t="s">
        <v>387</v>
      </c>
      <c r="F133" s="126"/>
      <c r="G133" s="26"/>
      <c r="H133" s="26">
        <v>2</v>
      </c>
      <c r="I133" s="141" t="s">
        <v>119</v>
      </c>
      <c r="J133" s="14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28"/>
      <c r="B134" s="67"/>
      <c r="C134" s="30"/>
      <c r="D134" s="23"/>
      <c r="E134" s="126" t="s">
        <v>388</v>
      </c>
      <c r="F134" s="38"/>
      <c r="G134" s="26"/>
      <c r="H134" s="26">
        <v>2</v>
      </c>
      <c r="I134" s="141" t="s">
        <v>119</v>
      </c>
      <c r="J134" s="144" t="s">
        <v>351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76"/>
      <c r="B135" s="77"/>
      <c r="C135" s="78"/>
      <c r="D135" s="79"/>
      <c r="E135" s="80"/>
      <c r="F135" s="81"/>
      <c r="G135" s="82"/>
      <c r="H135" s="83"/>
      <c r="I135" s="84"/>
      <c r="J135" s="8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2"/>
      <c r="G136" s="3"/>
      <c r="H136" s="3"/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2"/>
      <c r="G137" s="3"/>
      <c r="H137" s="3"/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2"/>
      <c r="G138" s="3"/>
      <c r="H138" s="3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2"/>
      <c r="G139" s="3"/>
      <c r="H139" s="3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2"/>
      <c r="G140" s="3"/>
      <c r="H140" s="3"/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2"/>
      <c r="G141" s="3"/>
      <c r="H141" s="3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2"/>
      <c r="G142" s="3"/>
      <c r="H142" s="3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2"/>
      <c r="G143" s="3"/>
      <c r="H143" s="3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2"/>
      <c r="G144" s="3"/>
      <c r="H144" s="3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2"/>
      <c r="G145" s="3"/>
      <c r="H145" s="3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2"/>
      <c r="G146" s="3"/>
      <c r="H146" s="3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2"/>
      <c r="G147" s="3"/>
      <c r="H147" s="3"/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2"/>
      <c r="G148" s="3"/>
      <c r="H148" s="3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2"/>
      <c r="G149" s="3"/>
      <c r="H149" s="3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2"/>
      <c r="G150" s="3"/>
      <c r="H150" s="3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2"/>
      <c r="G151" s="3"/>
      <c r="H151" s="3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2"/>
      <c r="G152" s="3"/>
      <c r="H152" s="3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2"/>
      <c r="G153" s="3"/>
      <c r="H153" s="3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2"/>
      <c r="G154" s="3"/>
      <c r="H154" s="3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2"/>
      <c r="G155" s="3"/>
      <c r="H155" s="3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2"/>
      <c r="G156" s="3"/>
      <c r="H156" s="3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2"/>
      <c r="G157" s="3"/>
      <c r="H157" s="3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2"/>
      <c r="G158" s="3"/>
      <c r="H158" s="3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2"/>
      <c r="G159" s="3"/>
      <c r="H159" s="3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2"/>
      <c r="G160" s="3"/>
      <c r="H160" s="3"/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2"/>
      <c r="G161" s="3"/>
      <c r="H161" s="3"/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2"/>
      <c r="G162" s="3"/>
      <c r="H162" s="3"/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2"/>
      <c r="G163" s="3"/>
      <c r="H163" s="3"/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2"/>
      <c r="G164" s="3"/>
      <c r="H164" s="3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2"/>
      <c r="G165" s="3"/>
      <c r="H165" s="3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2"/>
      <c r="G166" s="3"/>
      <c r="H166" s="3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2"/>
      <c r="G167" s="3"/>
      <c r="H167" s="3"/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2"/>
      <c r="G168" s="3"/>
      <c r="H168" s="3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2"/>
      <c r="G169" s="3"/>
      <c r="H169" s="3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2"/>
      <c r="G170" s="3"/>
      <c r="H170" s="3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2"/>
      <c r="G171" s="3"/>
      <c r="H171" s="3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2"/>
      <c r="G172" s="3"/>
      <c r="H172" s="3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2"/>
      <c r="G173" s="3"/>
      <c r="H173" s="3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2"/>
      <c r="G174" s="3"/>
      <c r="H174" s="3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2"/>
      <c r="G175" s="3"/>
      <c r="H175" s="3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2"/>
      <c r="G176" s="3"/>
      <c r="H176" s="3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2"/>
      <c r="G177" s="3"/>
      <c r="H177" s="3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2"/>
      <c r="G178" s="3"/>
      <c r="H178" s="3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2"/>
      <c r="G179" s="3"/>
      <c r="H179" s="3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2"/>
      <c r="G180" s="3"/>
      <c r="H180" s="3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2"/>
      <c r="G181" s="3"/>
      <c r="H181" s="3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2"/>
      <c r="G182" s="3"/>
      <c r="H182" s="3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2"/>
      <c r="G183" s="3"/>
      <c r="H183" s="3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2"/>
      <c r="G184" s="3"/>
      <c r="H184" s="3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2"/>
      <c r="G185" s="3"/>
      <c r="H185" s="3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2"/>
      <c r="G186" s="3"/>
      <c r="H186" s="3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2"/>
      <c r="G187" s="3"/>
      <c r="H187" s="3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2"/>
      <c r="G188" s="3"/>
      <c r="H188" s="3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2"/>
      <c r="G189" s="3"/>
      <c r="H189" s="3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2"/>
      <c r="G190" s="3"/>
      <c r="H190" s="3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2"/>
      <c r="G191" s="3"/>
      <c r="H191" s="3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2"/>
      <c r="G192" s="3"/>
      <c r="H192" s="3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2"/>
      <c r="G193" s="3"/>
      <c r="H193" s="3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2"/>
      <c r="G194" s="3"/>
      <c r="H194" s="3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2"/>
      <c r="G195" s="3"/>
      <c r="H195" s="3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2"/>
      <c r="G196" s="3"/>
      <c r="H196" s="3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2"/>
      <c r="G197" s="3"/>
      <c r="H197" s="3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2"/>
      <c r="G198" s="3"/>
      <c r="H198" s="3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2"/>
      <c r="G199" s="3"/>
      <c r="H199" s="3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2"/>
      <c r="G200" s="3"/>
      <c r="H200" s="3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2"/>
      <c r="G201" s="3"/>
      <c r="H201" s="3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2"/>
      <c r="G202" s="3"/>
      <c r="H202" s="3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2"/>
      <c r="G203" s="3"/>
      <c r="H203" s="3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2"/>
      <c r="G204" s="3"/>
      <c r="H204" s="3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2"/>
      <c r="G205" s="3"/>
      <c r="H205" s="3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2"/>
      <c r="G206" s="3"/>
      <c r="H206" s="3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2"/>
      <c r="G207" s="3"/>
      <c r="H207" s="3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2"/>
      <c r="G208" s="3"/>
      <c r="H208" s="3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2"/>
      <c r="G209" s="3"/>
      <c r="H209" s="3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2"/>
      <c r="G210" s="3"/>
      <c r="H210" s="3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2"/>
      <c r="G211" s="3"/>
      <c r="H211" s="3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2"/>
      <c r="G212" s="3"/>
      <c r="H212" s="3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2"/>
      <c r="G213" s="3"/>
      <c r="H213" s="3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2"/>
      <c r="G214" s="3"/>
      <c r="H214" s="3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2"/>
      <c r="G215" s="3"/>
      <c r="H215" s="3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2"/>
      <c r="G216" s="3"/>
      <c r="H216" s="3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2"/>
      <c r="G217" s="3"/>
      <c r="H217" s="3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2"/>
      <c r="G218" s="3"/>
      <c r="H218" s="3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2"/>
      <c r="G219" s="3"/>
      <c r="H219" s="3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2"/>
      <c r="G220" s="3"/>
      <c r="H220" s="3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2"/>
      <c r="G221" s="3"/>
      <c r="H221" s="3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2"/>
      <c r="G222" s="3"/>
      <c r="H222" s="3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2"/>
      <c r="G223" s="3"/>
      <c r="H223" s="3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2"/>
      <c r="G224" s="3"/>
      <c r="H224" s="3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2"/>
      <c r="G225" s="3"/>
      <c r="H225" s="3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2"/>
      <c r="G226" s="3"/>
      <c r="H226" s="3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2"/>
      <c r="G227" s="3"/>
      <c r="H227" s="3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2"/>
      <c r="G228" s="3"/>
      <c r="H228" s="3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2"/>
      <c r="G229" s="3"/>
      <c r="H229" s="3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2"/>
      <c r="G230" s="3"/>
      <c r="H230" s="3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2"/>
      <c r="G231" s="3"/>
      <c r="H231" s="3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2"/>
      <c r="G232" s="3"/>
      <c r="H232" s="3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2"/>
      <c r="G233" s="3"/>
      <c r="H233" s="3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2"/>
      <c r="G234" s="3"/>
      <c r="H234" s="3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2"/>
      <c r="G235" s="3"/>
      <c r="H235" s="3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2"/>
      <c r="G236" s="3"/>
      <c r="H236" s="3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2"/>
      <c r="G237" s="3"/>
      <c r="H237" s="3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2"/>
      <c r="G238" s="3"/>
      <c r="H238" s="3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2"/>
      <c r="G239" s="3"/>
      <c r="H239" s="3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2"/>
      <c r="G240" s="3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2"/>
      <c r="G241" s="3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2"/>
      <c r="G242" s="3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2"/>
      <c r="G243" s="3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2"/>
      <c r="G244" s="3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2"/>
      <c r="G245" s="3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2"/>
      <c r="G246" s="3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2"/>
      <c r="G247" s="3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2"/>
      <c r="G248" s="3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2"/>
      <c r="G249" s="3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2"/>
      <c r="G250" s="3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2"/>
      <c r="G251" s="3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2"/>
      <c r="G252" s="3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2"/>
      <c r="G253" s="3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2"/>
      <c r="G254" s="3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2"/>
      <c r="G255" s="3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2"/>
      <c r="G256" s="3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2"/>
      <c r="G257" s="3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2"/>
      <c r="G258" s="3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2"/>
      <c r="G259" s="3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2"/>
      <c r="G260" s="3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2"/>
      <c r="G261" s="3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2"/>
      <c r="G262" s="3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2"/>
      <c r="G263" s="3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2"/>
      <c r="G264" s="3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2"/>
      <c r="G265" s="3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2"/>
      <c r="G266" s="3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2"/>
      <c r="G267" s="3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2"/>
      <c r="G268" s="3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2"/>
      <c r="G269" s="3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2"/>
      <c r="G270" s="3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2"/>
      <c r="G271" s="3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2"/>
      <c r="G272" s="3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2"/>
      <c r="G273" s="3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2"/>
      <c r="G274" s="3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2"/>
      <c r="G275" s="3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2"/>
      <c r="G276" s="3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2"/>
      <c r="G277" s="3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2"/>
      <c r="G278" s="3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2"/>
      <c r="G279" s="3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2"/>
      <c r="G280" s="3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2"/>
      <c r="G281" s="3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2"/>
      <c r="G282" s="3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2"/>
      <c r="G283" s="3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2"/>
      <c r="G284" s="3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2"/>
      <c r="G285" s="3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2"/>
      <c r="G286" s="3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2"/>
      <c r="G287" s="3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2"/>
      <c r="G288" s="3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2"/>
      <c r="G289" s="3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2"/>
      <c r="G290" s="3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2"/>
      <c r="G291" s="3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2"/>
      <c r="G292" s="3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2"/>
      <c r="G293" s="3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2"/>
      <c r="G294" s="3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2"/>
      <c r="G295" s="3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2"/>
      <c r="G296" s="3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2"/>
      <c r="G297" s="3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2"/>
      <c r="G298" s="3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2"/>
      <c r="G299" s="3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2"/>
      <c r="G300" s="3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2"/>
      <c r="G301" s="3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2"/>
      <c r="G302" s="3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2"/>
      <c r="G303" s="3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2"/>
      <c r="G304" s="3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2"/>
      <c r="G305" s="3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2"/>
      <c r="G306" s="3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2"/>
      <c r="G307" s="3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2"/>
      <c r="G308" s="3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2"/>
      <c r="G309" s="3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2"/>
      <c r="G310" s="3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2"/>
      <c r="G311" s="3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2"/>
      <c r="G312" s="3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2"/>
      <c r="G313" s="3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2"/>
      <c r="G314" s="3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2"/>
      <c r="G315" s="3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2"/>
      <c r="G316" s="3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2"/>
      <c r="G317" s="3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2"/>
      <c r="G318" s="3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2"/>
      <c r="G319" s="3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2"/>
      <c r="G320" s="3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2"/>
      <c r="G321" s="3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2"/>
      <c r="G322" s="3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2"/>
      <c r="G323" s="3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2"/>
      <c r="G324" s="3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2"/>
      <c r="G325" s="3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2"/>
      <c r="G326" s="3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2"/>
      <c r="G327" s="3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2"/>
      <c r="G328" s="3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2"/>
      <c r="G329" s="3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2"/>
      <c r="G330" s="3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2"/>
      <c r="G331" s="3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2"/>
      <c r="G332" s="3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2"/>
      <c r="G333" s="3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2"/>
      <c r="G334" s="3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2"/>
      <c r="G335" s="3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2"/>
      <c r="G336" s="3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2"/>
      <c r="G337" s="3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2"/>
      <c r="G338" s="3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2"/>
      <c r="G339" s="3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2"/>
      <c r="G340" s="3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2"/>
      <c r="G341" s="3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2"/>
      <c r="G342" s="3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2"/>
      <c r="G343" s="3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2"/>
      <c r="G344" s="3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2"/>
      <c r="G345" s="3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2"/>
      <c r="G346" s="3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2"/>
      <c r="G347" s="3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2"/>
      <c r="G348" s="3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2"/>
      <c r="G349" s="3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2"/>
      <c r="G350" s="3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2"/>
      <c r="G351" s="3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2"/>
      <c r="G352" s="3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2"/>
      <c r="G353" s="3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2"/>
      <c r="G354" s="3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2"/>
      <c r="G355" s="3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2"/>
      <c r="G356" s="3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2"/>
      <c r="G357" s="3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2"/>
      <c r="G358" s="3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2"/>
      <c r="G359" s="3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2"/>
      <c r="G360" s="3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2"/>
      <c r="G361" s="3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2"/>
      <c r="G362" s="3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2"/>
      <c r="G363" s="3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2"/>
      <c r="G364" s="3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2"/>
      <c r="G365" s="3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2"/>
      <c r="G366" s="3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2"/>
      <c r="G367" s="3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2"/>
      <c r="G368" s="3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2"/>
      <c r="G369" s="3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2"/>
      <c r="G370" s="3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2"/>
      <c r="G371" s="3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2"/>
      <c r="G372" s="3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2"/>
      <c r="G373" s="3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2"/>
      <c r="G374" s="3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2"/>
      <c r="G375" s="3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2"/>
      <c r="G376" s="3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2"/>
      <c r="G377" s="3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2"/>
      <c r="G378" s="3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2"/>
      <c r="G379" s="3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2"/>
      <c r="G380" s="3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2"/>
      <c r="G381" s="3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2"/>
      <c r="G382" s="3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2"/>
      <c r="G383" s="3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2"/>
      <c r="G384" s="3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2"/>
      <c r="G385" s="3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2"/>
      <c r="G386" s="3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2"/>
      <c r="G387" s="3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2"/>
      <c r="G388" s="3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2"/>
      <c r="G389" s="3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2"/>
      <c r="G390" s="3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2"/>
      <c r="G391" s="3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2"/>
      <c r="G392" s="3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2"/>
      <c r="G393" s="3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2"/>
      <c r="G394" s="3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2"/>
      <c r="G395" s="3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2"/>
      <c r="G396" s="3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2"/>
      <c r="G397" s="3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2"/>
      <c r="G398" s="3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2"/>
      <c r="G399" s="3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2"/>
      <c r="G400" s="3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2"/>
      <c r="G401" s="3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2"/>
      <c r="G402" s="3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2"/>
      <c r="G403" s="3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2"/>
      <c r="G404" s="3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2"/>
      <c r="G405" s="3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2"/>
      <c r="G406" s="3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2"/>
      <c r="G407" s="3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2"/>
      <c r="G408" s="3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2"/>
      <c r="G409" s="3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2"/>
      <c r="G410" s="3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2"/>
      <c r="G411" s="3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2"/>
      <c r="G412" s="3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2"/>
      <c r="G413" s="3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2"/>
      <c r="G414" s="3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2"/>
      <c r="G415" s="3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2"/>
      <c r="G416" s="3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2"/>
      <c r="G417" s="3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2"/>
      <c r="G418" s="3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2"/>
      <c r="G419" s="3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2"/>
      <c r="G420" s="3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2"/>
      <c r="G421" s="3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2"/>
      <c r="G422" s="3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2"/>
      <c r="G423" s="3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2"/>
      <c r="G424" s="3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2"/>
      <c r="G425" s="3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2"/>
      <c r="G426" s="3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2"/>
      <c r="G427" s="3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2"/>
      <c r="G428" s="3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2"/>
      <c r="G429" s="3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2"/>
      <c r="G430" s="3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2"/>
      <c r="G431" s="3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2"/>
      <c r="G432" s="3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2"/>
      <c r="G433" s="3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2"/>
      <c r="G434" s="3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2"/>
      <c r="G435" s="3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2"/>
      <c r="G436" s="3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2"/>
      <c r="G437" s="3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2"/>
      <c r="G438" s="3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2"/>
      <c r="G439" s="3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2"/>
      <c r="G440" s="3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2"/>
      <c r="G441" s="3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2"/>
      <c r="G442" s="3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2"/>
      <c r="G443" s="3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2"/>
      <c r="G444" s="3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2"/>
      <c r="G445" s="3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2"/>
      <c r="G446" s="3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2"/>
      <c r="G447" s="3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2"/>
      <c r="G448" s="3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2"/>
      <c r="G449" s="3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2"/>
      <c r="G450" s="3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2"/>
      <c r="G451" s="3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2"/>
      <c r="G452" s="3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2"/>
      <c r="G453" s="3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2"/>
      <c r="G454" s="3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2"/>
      <c r="G455" s="3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2"/>
      <c r="G456" s="3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2"/>
      <c r="G457" s="3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2"/>
      <c r="G458" s="3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2"/>
      <c r="G459" s="3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2"/>
      <c r="G460" s="3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2"/>
      <c r="G461" s="3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2"/>
      <c r="G462" s="3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2"/>
      <c r="G463" s="3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2"/>
      <c r="G464" s="3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2"/>
      <c r="G465" s="3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2"/>
      <c r="G466" s="3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2"/>
      <c r="G467" s="3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2"/>
      <c r="G468" s="3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2"/>
      <c r="G469" s="3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2"/>
      <c r="G470" s="3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2"/>
      <c r="G471" s="3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2"/>
      <c r="G472" s="3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2"/>
      <c r="G473" s="3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2"/>
      <c r="G474" s="3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2"/>
      <c r="G475" s="3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2"/>
      <c r="G476" s="3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2"/>
      <c r="G477" s="3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2"/>
      <c r="G478" s="3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2"/>
      <c r="G479" s="3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2"/>
      <c r="G480" s="3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2"/>
      <c r="G481" s="3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2"/>
      <c r="G482" s="3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2"/>
      <c r="G483" s="3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2"/>
      <c r="G484" s="3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2"/>
      <c r="G485" s="3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2"/>
      <c r="G486" s="3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2"/>
      <c r="G487" s="3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2"/>
      <c r="G488" s="3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2"/>
      <c r="G489" s="3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2"/>
      <c r="G490" s="3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2"/>
      <c r="G491" s="3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2"/>
      <c r="G492" s="3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2"/>
      <c r="G493" s="3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2"/>
      <c r="G494" s="3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2"/>
      <c r="G495" s="3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2"/>
      <c r="G496" s="3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2"/>
      <c r="G497" s="3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2"/>
      <c r="G498" s="3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2"/>
      <c r="G499" s="3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2"/>
      <c r="G500" s="3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2"/>
      <c r="G501" s="3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2"/>
      <c r="G502" s="3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2"/>
      <c r="G503" s="3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2"/>
      <c r="G504" s="3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2"/>
      <c r="G505" s="3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2"/>
      <c r="G506" s="3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2"/>
      <c r="G507" s="3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2"/>
      <c r="G508" s="3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2"/>
      <c r="G509" s="3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2"/>
      <c r="G510" s="3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2"/>
      <c r="G511" s="3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2"/>
      <c r="G512" s="3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2"/>
      <c r="G513" s="3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2"/>
      <c r="G514" s="3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2"/>
      <c r="G515" s="3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2"/>
      <c r="G516" s="3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2"/>
      <c r="G517" s="3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2"/>
      <c r="G518" s="3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2"/>
      <c r="G519" s="3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2"/>
      <c r="G520" s="3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2"/>
      <c r="G521" s="3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2"/>
      <c r="G522" s="3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2"/>
      <c r="G523" s="3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2"/>
      <c r="G524" s="3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2"/>
      <c r="G525" s="3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2"/>
      <c r="G526" s="3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2"/>
      <c r="G527" s="3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2"/>
      <c r="G528" s="3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2"/>
      <c r="G529" s="3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2"/>
      <c r="G530" s="3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2"/>
      <c r="G531" s="3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2"/>
      <c r="G532" s="3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2"/>
      <c r="G533" s="3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2"/>
      <c r="G534" s="3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2"/>
      <c r="G535" s="3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2"/>
      <c r="G536" s="3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2"/>
      <c r="G537" s="3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2"/>
      <c r="G538" s="3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2"/>
      <c r="G539" s="3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2"/>
      <c r="G540" s="3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2"/>
      <c r="G541" s="3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2"/>
      <c r="G542" s="3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2"/>
      <c r="G543" s="3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2"/>
      <c r="G544" s="3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2"/>
      <c r="G545" s="3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2"/>
      <c r="G546" s="3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2"/>
      <c r="G547" s="3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2"/>
      <c r="G548" s="3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2"/>
      <c r="G549" s="3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2"/>
      <c r="G550" s="3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2"/>
      <c r="G551" s="3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2"/>
      <c r="G552" s="3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2"/>
      <c r="G553" s="3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2"/>
      <c r="G554" s="3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2"/>
      <c r="G555" s="3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2"/>
      <c r="G556" s="3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2"/>
      <c r="G557" s="3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2"/>
      <c r="G558" s="3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2"/>
      <c r="G559" s="3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2"/>
      <c r="G560" s="3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2"/>
      <c r="G561" s="3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2"/>
      <c r="G562" s="3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2"/>
      <c r="G563" s="3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2"/>
      <c r="G564" s="3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2"/>
      <c r="G565" s="3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2"/>
      <c r="G566" s="3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2"/>
      <c r="G567" s="3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2"/>
      <c r="G568" s="3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2"/>
      <c r="G569" s="3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2"/>
      <c r="G570" s="3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2"/>
      <c r="G571" s="3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2"/>
      <c r="G572" s="3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2"/>
      <c r="G573" s="3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2"/>
      <c r="G574" s="3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2"/>
      <c r="G575" s="3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2"/>
      <c r="G576" s="3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2"/>
      <c r="G577" s="3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2"/>
      <c r="G578" s="3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2"/>
      <c r="G579" s="3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2"/>
      <c r="G580" s="3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2"/>
      <c r="G581" s="3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2"/>
      <c r="G582" s="3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2"/>
      <c r="G583" s="3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2"/>
      <c r="G584" s="3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2"/>
      <c r="G585" s="3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2"/>
      <c r="G586" s="3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2"/>
      <c r="G587" s="3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2"/>
      <c r="G588" s="3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2"/>
      <c r="G589" s="3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2"/>
      <c r="G590" s="3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2"/>
      <c r="G591" s="3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2"/>
      <c r="G592" s="3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2"/>
      <c r="G593" s="3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2"/>
      <c r="G594" s="3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2"/>
      <c r="G595" s="3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2"/>
      <c r="G596" s="3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2"/>
      <c r="G597" s="3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2"/>
      <c r="G598" s="3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2"/>
      <c r="G599" s="3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2"/>
      <c r="G600" s="3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2"/>
      <c r="G601" s="3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2"/>
      <c r="G602" s="3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2"/>
      <c r="G603" s="3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2"/>
      <c r="G604" s="3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2"/>
      <c r="G605" s="3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2"/>
      <c r="G606" s="3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2"/>
      <c r="G607" s="3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2"/>
      <c r="G608" s="3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2"/>
      <c r="G609" s="3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2"/>
      <c r="G610" s="3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2"/>
      <c r="G611" s="3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2"/>
      <c r="G612" s="3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2"/>
      <c r="G613" s="3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2"/>
      <c r="G614" s="3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2"/>
      <c r="G615" s="3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2"/>
      <c r="G616" s="3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2"/>
      <c r="G617" s="3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2"/>
      <c r="G618" s="3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2"/>
      <c r="G619" s="3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2"/>
      <c r="G620" s="3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2"/>
      <c r="G621" s="3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2"/>
      <c r="G622" s="3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2"/>
      <c r="G623" s="3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2"/>
      <c r="G624" s="3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2"/>
      <c r="G625" s="3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2"/>
      <c r="G626" s="3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2"/>
      <c r="G627" s="3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2"/>
      <c r="G628" s="3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2"/>
      <c r="G629" s="3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2"/>
      <c r="G630" s="3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2"/>
      <c r="G631" s="3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2"/>
      <c r="G632" s="3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2"/>
      <c r="G633" s="3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2"/>
      <c r="G634" s="3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2"/>
      <c r="G635" s="3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2"/>
      <c r="G636" s="3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2"/>
      <c r="G637" s="3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2"/>
      <c r="G638" s="3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2"/>
      <c r="G639" s="3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2"/>
      <c r="G640" s="3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2"/>
      <c r="G641" s="3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2"/>
      <c r="G642" s="3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2"/>
      <c r="G643" s="3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2"/>
      <c r="G644" s="3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2"/>
      <c r="G645" s="3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2"/>
      <c r="G646" s="3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2"/>
      <c r="G647" s="3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2"/>
      <c r="G648" s="3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2"/>
      <c r="G649" s="3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2"/>
      <c r="G650" s="3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2"/>
      <c r="G651" s="3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2"/>
      <c r="G652" s="3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2"/>
      <c r="G653" s="3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2"/>
      <c r="G654" s="3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2"/>
      <c r="G655" s="3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2"/>
      <c r="G656" s="3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2"/>
      <c r="G657" s="3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2"/>
      <c r="G658" s="3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2"/>
      <c r="G659" s="3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2"/>
      <c r="G660" s="3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2"/>
      <c r="G661" s="3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2"/>
      <c r="G662" s="3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2"/>
      <c r="G663" s="3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2"/>
      <c r="G664" s="3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2"/>
      <c r="G665" s="3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2"/>
      <c r="G666" s="3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2"/>
      <c r="G667" s="3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2"/>
      <c r="G668" s="3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2"/>
      <c r="G669" s="3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2"/>
      <c r="G670" s="3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2"/>
      <c r="G671" s="3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2"/>
      <c r="G672" s="3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2"/>
      <c r="G673" s="3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2"/>
      <c r="G674" s="3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2"/>
      <c r="G675" s="3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2"/>
      <c r="G676" s="3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2"/>
      <c r="G677" s="3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2"/>
      <c r="G678" s="3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2"/>
      <c r="G679" s="3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2"/>
      <c r="G680" s="3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2"/>
      <c r="G681" s="3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2"/>
      <c r="G682" s="3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2"/>
      <c r="G683" s="3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2"/>
      <c r="G684" s="3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2"/>
      <c r="G685" s="3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2"/>
      <c r="G686" s="3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2"/>
      <c r="G687" s="3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2"/>
      <c r="G688" s="3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2"/>
      <c r="G689" s="3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2"/>
      <c r="G690" s="3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2"/>
      <c r="G691" s="3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2"/>
      <c r="G692" s="3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2"/>
      <c r="G693" s="3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2"/>
      <c r="G694" s="3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2"/>
      <c r="G695" s="3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2"/>
      <c r="G696" s="3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2"/>
      <c r="G697" s="3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2"/>
      <c r="G698" s="3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2"/>
      <c r="G699" s="3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2"/>
      <c r="G700" s="3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2"/>
      <c r="G701" s="3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2"/>
      <c r="G702" s="3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2"/>
      <c r="G703" s="3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2"/>
      <c r="G704" s="3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2"/>
      <c r="G705" s="3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2"/>
      <c r="G706" s="3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2"/>
      <c r="G707" s="3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2"/>
      <c r="G708" s="3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2"/>
      <c r="G709" s="3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2"/>
      <c r="G710" s="3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2"/>
      <c r="G711" s="3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2"/>
      <c r="G712" s="3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2"/>
      <c r="G713" s="3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2"/>
      <c r="G714" s="3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2"/>
      <c r="G715" s="3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2"/>
      <c r="G716" s="3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2"/>
      <c r="G717" s="3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2"/>
      <c r="G718" s="3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2"/>
      <c r="G719" s="3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2"/>
      <c r="G720" s="3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2"/>
      <c r="G721" s="3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2"/>
      <c r="G722" s="3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2"/>
      <c r="G723" s="3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2"/>
      <c r="G724" s="3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2"/>
      <c r="G725" s="3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2"/>
      <c r="G726" s="3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2"/>
      <c r="G727" s="3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2"/>
      <c r="G728" s="3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2"/>
      <c r="G729" s="3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2"/>
      <c r="G730" s="3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2"/>
      <c r="G731" s="3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2"/>
      <c r="G732" s="3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2"/>
      <c r="G733" s="3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2"/>
      <c r="G734" s="3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2"/>
      <c r="G735" s="3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2"/>
      <c r="G736" s="3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2"/>
      <c r="G737" s="3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2"/>
      <c r="G738" s="3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2"/>
      <c r="G739" s="3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2"/>
      <c r="G740" s="3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2"/>
      <c r="G741" s="3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2"/>
      <c r="G742" s="3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2"/>
      <c r="G743" s="3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2"/>
      <c r="G744" s="3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2"/>
      <c r="G745" s="3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2"/>
      <c r="G746" s="3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2"/>
      <c r="G747" s="3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2"/>
      <c r="G748" s="3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2"/>
      <c r="G749" s="3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2"/>
      <c r="G750" s="3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2"/>
      <c r="G751" s="3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2"/>
      <c r="G752" s="3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2"/>
      <c r="G753" s="3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2"/>
      <c r="G754" s="3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2"/>
      <c r="G755" s="3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2"/>
      <c r="G756" s="3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2"/>
      <c r="G757" s="3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2"/>
      <c r="G758" s="3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2"/>
      <c r="G759" s="3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2"/>
      <c r="G760" s="3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2"/>
      <c r="G761" s="3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2"/>
      <c r="G762" s="3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2"/>
      <c r="G763" s="3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2"/>
      <c r="G764" s="3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2"/>
      <c r="G765" s="3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2"/>
      <c r="G766" s="3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2"/>
      <c r="G767" s="3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2"/>
      <c r="G768" s="3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2"/>
      <c r="G769" s="3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2"/>
      <c r="G770" s="3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2"/>
      <c r="G771" s="3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2"/>
      <c r="G772" s="3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2"/>
      <c r="G773" s="3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2"/>
      <c r="G774" s="3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2"/>
      <c r="G775" s="3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2"/>
      <c r="G776" s="3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2"/>
      <c r="G777" s="3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2"/>
      <c r="G778" s="3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2"/>
      <c r="G779" s="3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2"/>
      <c r="G780" s="3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2"/>
      <c r="G781" s="3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2"/>
      <c r="G782" s="3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2"/>
      <c r="G783" s="3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2"/>
      <c r="G784" s="3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2"/>
      <c r="G785" s="3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2"/>
      <c r="G786" s="3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2"/>
      <c r="G787" s="3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2"/>
      <c r="G788" s="3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2"/>
      <c r="G789" s="3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2"/>
      <c r="G790" s="3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2"/>
      <c r="G791" s="3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2"/>
      <c r="G792" s="3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2"/>
      <c r="G793" s="3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2"/>
      <c r="G794" s="3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2"/>
      <c r="G795" s="3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2"/>
      <c r="G796" s="3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2"/>
      <c r="G797" s="3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2"/>
      <c r="G798" s="3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2"/>
      <c r="G799" s="3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2"/>
      <c r="G800" s="3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2"/>
      <c r="G801" s="3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2"/>
      <c r="G802" s="3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2"/>
      <c r="G803" s="3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2"/>
      <c r="G804" s="3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2"/>
      <c r="G805" s="3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2"/>
      <c r="G806" s="3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2"/>
      <c r="G807" s="3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2"/>
      <c r="G808" s="3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2"/>
      <c r="G809" s="3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2"/>
      <c r="G810" s="3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2"/>
      <c r="G811" s="3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2"/>
      <c r="G812" s="3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2"/>
      <c r="G813" s="3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2"/>
      <c r="G814" s="3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2"/>
      <c r="G815" s="3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2"/>
      <c r="G816" s="3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2"/>
      <c r="G817" s="3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2"/>
      <c r="G818" s="3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2"/>
      <c r="G819" s="3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2"/>
      <c r="G820" s="3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2"/>
      <c r="G821" s="3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2"/>
      <c r="G822" s="3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2"/>
      <c r="G823" s="3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2"/>
      <c r="G824" s="3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2"/>
      <c r="G825" s="3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2"/>
      <c r="G826" s="3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2"/>
      <c r="G827" s="3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2"/>
      <c r="G828" s="3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2"/>
      <c r="G829" s="3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2"/>
      <c r="G830" s="3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2"/>
      <c r="G831" s="3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2"/>
      <c r="G832" s="3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2"/>
      <c r="G833" s="3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2"/>
      <c r="G834" s="3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2"/>
      <c r="G835" s="3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2"/>
      <c r="G836" s="3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2"/>
      <c r="G837" s="3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2"/>
      <c r="G838" s="3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2"/>
      <c r="G839" s="3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2"/>
      <c r="G840" s="3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2"/>
      <c r="G841" s="3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2"/>
      <c r="G842" s="3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2"/>
      <c r="G843" s="3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2"/>
      <c r="G844" s="3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2"/>
      <c r="G845" s="3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2"/>
      <c r="G846" s="3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2"/>
      <c r="G847" s="3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2"/>
      <c r="G848" s="3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2"/>
      <c r="G849" s="3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2"/>
      <c r="G850" s="3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2"/>
      <c r="G851" s="3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2"/>
      <c r="G852" s="3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2"/>
      <c r="G853" s="3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2"/>
      <c r="G854" s="3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2"/>
      <c r="G855" s="3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2"/>
      <c r="G856" s="3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2"/>
      <c r="G857" s="3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2"/>
      <c r="G858" s="3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2"/>
      <c r="G859" s="3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2"/>
      <c r="G860" s="3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2"/>
      <c r="G861" s="3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2"/>
      <c r="G862" s="3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2"/>
      <c r="G863" s="3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2"/>
      <c r="G864" s="3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2"/>
      <c r="G865" s="3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2"/>
      <c r="G866" s="3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2"/>
      <c r="G867" s="3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2"/>
      <c r="G868" s="3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2"/>
      <c r="G869" s="3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2"/>
      <c r="G870" s="3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2"/>
      <c r="G871" s="3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2"/>
      <c r="G872" s="3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2"/>
      <c r="G873" s="3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2"/>
      <c r="G874" s="3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2"/>
      <c r="G875" s="3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2"/>
      <c r="G876" s="3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2"/>
      <c r="G877" s="3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2"/>
      <c r="G878" s="3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2"/>
      <c r="G879" s="3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2"/>
      <c r="G880" s="3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2"/>
      <c r="G881" s="3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2"/>
      <c r="G882" s="3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2"/>
      <c r="G883" s="3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2"/>
      <c r="G884" s="3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2"/>
      <c r="G885" s="3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2"/>
      <c r="G886" s="3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2"/>
      <c r="G887" s="3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2"/>
      <c r="G888" s="3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2"/>
      <c r="G889" s="3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2"/>
      <c r="G890" s="3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2"/>
      <c r="G891" s="3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2"/>
      <c r="G892" s="3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2"/>
      <c r="G893" s="3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2"/>
      <c r="G894" s="3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2"/>
      <c r="G895" s="3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2"/>
      <c r="G896" s="3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2"/>
      <c r="G897" s="3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2"/>
      <c r="G898" s="3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2"/>
      <c r="G899" s="3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2"/>
      <c r="G900" s="3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2"/>
      <c r="G901" s="3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2"/>
      <c r="G902" s="3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2"/>
      <c r="G903" s="3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2"/>
      <c r="G904" s="3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2"/>
      <c r="G905" s="3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2"/>
      <c r="G906" s="3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2"/>
      <c r="G907" s="3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2"/>
      <c r="G908" s="3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2"/>
      <c r="G909" s="3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2"/>
      <c r="G910" s="3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2"/>
      <c r="G911" s="3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2"/>
      <c r="G912" s="3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2"/>
      <c r="G913" s="3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2"/>
      <c r="G914" s="3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2"/>
      <c r="G915" s="3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2"/>
      <c r="G916" s="3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2"/>
      <c r="G917" s="3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2"/>
      <c r="G918" s="3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2"/>
      <c r="G919" s="3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2"/>
      <c r="G920" s="3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2"/>
      <c r="G921" s="3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2"/>
      <c r="G922" s="3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2"/>
      <c r="G923" s="3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2"/>
      <c r="G924" s="3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2"/>
      <c r="G925" s="3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2"/>
      <c r="G926" s="3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2"/>
      <c r="G927" s="3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2"/>
      <c r="G928" s="3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2"/>
      <c r="G929" s="3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2"/>
      <c r="G930" s="3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2"/>
      <c r="G931" s="3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2"/>
      <c r="G932" s="3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2"/>
      <c r="G933" s="3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2"/>
      <c r="G934" s="3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2"/>
      <c r="G935" s="3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2"/>
      <c r="G936" s="3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2"/>
      <c r="G937" s="3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2"/>
      <c r="G938" s="3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2"/>
      <c r="G939" s="3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2"/>
      <c r="G940" s="3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2"/>
      <c r="G941" s="3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2"/>
      <c r="G942" s="3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2"/>
      <c r="G943" s="3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2"/>
      <c r="G944" s="3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2"/>
      <c r="G945" s="3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2"/>
      <c r="G946" s="3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2"/>
      <c r="G947" s="3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2"/>
      <c r="G948" s="3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2"/>
      <c r="G949" s="3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2"/>
      <c r="G950" s="3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2"/>
      <c r="G951" s="3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2"/>
      <c r="G952" s="3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2"/>
      <c r="G953" s="3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2"/>
      <c r="G954" s="3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2"/>
      <c r="G955" s="3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2"/>
      <c r="G956" s="3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2"/>
      <c r="G957" s="3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2"/>
      <c r="G958" s="3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2"/>
      <c r="G959" s="3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2"/>
      <c r="G960" s="3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2"/>
      <c r="G961" s="3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2"/>
      <c r="G962" s="3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2"/>
      <c r="G963" s="3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2"/>
      <c r="G964" s="3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2"/>
      <c r="G965" s="3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2"/>
      <c r="G966" s="3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2"/>
      <c r="G967" s="3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2"/>
      <c r="G968" s="3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2"/>
      <c r="G969" s="3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2"/>
      <c r="G970" s="3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2"/>
      <c r="G971" s="3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2"/>
      <c r="G972" s="3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2"/>
      <c r="G973" s="3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2"/>
      <c r="G974" s="3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2"/>
      <c r="G975" s="3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2"/>
      <c r="G976" s="3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2"/>
      <c r="G977" s="3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2"/>
      <c r="G978" s="3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2"/>
      <c r="G979" s="3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2"/>
      <c r="G980" s="3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2"/>
      <c r="G981" s="3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2"/>
      <c r="G982" s="3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2"/>
      <c r="G983" s="3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2"/>
      <c r="G984" s="3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2"/>
      <c r="G985" s="3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2"/>
      <c r="G986" s="3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2"/>
      <c r="G987" s="3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2"/>
      <c r="G988" s="3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2"/>
      <c r="G989" s="3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2"/>
      <c r="G990" s="3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2"/>
      <c r="G991" s="3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2"/>
      <c r="G992" s="3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2"/>
      <c r="G993" s="3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2"/>
      <c r="G994" s="3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2"/>
      <c r="G995" s="3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2"/>
      <c r="G996" s="3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2"/>
      <c r="G997" s="3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2"/>
      <c r="G998" s="3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2"/>
      <c r="G999" s="3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2"/>
      <c r="G1000" s="3"/>
      <c r="H1000" s="3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2"/>
      <c r="G1001" s="3"/>
      <c r="H1001" s="3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2"/>
      <c r="G1002" s="3"/>
      <c r="H1002" s="3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2"/>
      <c r="G1003" s="3"/>
      <c r="H1003" s="3"/>
      <c r="I1003" s="3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2"/>
      <c r="G1004" s="3"/>
      <c r="H1004" s="3"/>
      <c r="I1004" s="3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2"/>
      <c r="G1005" s="3"/>
      <c r="H1005" s="3"/>
      <c r="I1005" s="3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2"/>
      <c r="G1006" s="3"/>
      <c r="H1006" s="3"/>
      <c r="I1006" s="3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2"/>
      <c r="G1007" s="3"/>
      <c r="H1007" s="3"/>
      <c r="I1007" s="3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2"/>
      <c r="G1008" s="3"/>
      <c r="H1008" s="3"/>
      <c r="I1008" s="3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2"/>
      <c r="G1009" s="3"/>
      <c r="H1009" s="3"/>
      <c r="I1009" s="3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2"/>
      <c r="G1010" s="3"/>
      <c r="H1010" s="3"/>
      <c r="I1010" s="3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customSheetViews>
    <customSheetView guid="{155B3E89-0DF2-4BF5-B210-69C6E8FC64E8}" filter="1" showAutoFilter="1">
      <pageMargins left="0.7" right="0.7" top="0.75" bottom="0.75" header="0.3" footer="0.3"/>
      <autoFilter ref="A3:Z125" xr:uid="{604A6758-D4D3-4859-B1A7-42C1EFE52362}"/>
    </customSheetView>
  </customSheetViews>
  <mergeCells count="17">
    <mergeCell ref="A109:A112"/>
    <mergeCell ref="A124:A125"/>
    <mergeCell ref="A121:A123"/>
    <mergeCell ref="A100:A101"/>
    <mergeCell ref="A113:A116"/>
    <mergeCell ref="A43:A51"/>
    <mergeCell ref="A53:A62"/>
    <mergeCell ref="A63:A69"/>
    <mergeCell ref="A70:A75"/>
    <mergeCell ref="A104:A108"/>
    <mergeCell ref="A1:J1"/>
    <mergeCell ref="A7:A10"/>
    <mergeCell ref="A17:A25"/>
    <mergeCell ref="A26:A42"/>
    <mergeCell ref="A3:A4"/>
    <mergeCell ref="C3:F3"/>
    <mergeCell ref="B3:B4"/>
  </mergeCells>
  <phoneticPr fontId="10" type="noConversion"/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zoomScale="80" zoomScaleNormal="80" workbookViewId="0">
      <selection sqref="A1:G1"/>
    </sheetView>
  </sheetViews>
  <sheetFormatPr defaultColWidth="8.85546875" defaultRowHeight="15"/>
  <cols>
    <col min="1" max="1" width="14.140625" style="86" customWidth="1"/>
    <col min="2" max="2" width="10.28515625" style="86" customWidth="1"/>
    <col min="3" max="3" width="29.5703125" style="86" customWidth="1"/>
    <col min="4" max="4" width="29.28515625" style="86" customWidth="1"/>
    <col min="5" max="5" width="114.140625" style="99" customWidth="1"/>
    <col min="6" max="6" width="36.5703125" style="86" customWidth="1"/>
    <col min="7" max="7" width="44.28515625" style="86" customWidth="1"/>
    <col min="8" max="16384" width="8.85546875" style="86"/>
  </cols>
  <sheetData>
    <row r="1" spans="1:7" ht="36.6" customHeight="1">
      <c r="A1" s="189" t="s">
        <v>79</v>
      </c>
      <c r="B1" s="190"/>
      <c r="C1" s="190"/>
      <c r="D1" s="190"/>
      <c r="E1" s="190"/>
      <c r="F1" s="190"/>
      <c r="G1" s="191"/>
    </row>
    <row r="2" spans="1:7" ht="15.75">
      <c r="A2" s="87" t="s">
        <v>80</v>
      </c>
      <c r="B2" s="88" t="s">
        <v>81</v>
      </c>
      <c r="C2" s="89" t="s">
        <v>82</v>
      </c>
      <c r="D2" s="89" t="s">
        <v>83</v>
      </c>
      <c r="E2" s="89" t="s">
        <v>84</v>
      </c>
      <c r="F2" s="89" t="s">
        <v>85</v>
      </c>
      <c r="G2" s="90" t="s">
        <v>86</v>
      </c>
    </row>
    <row r="3" spans="1:7" ht="103.15" customHeight="1">
      <c r="A3" s="187" t="s">
        <v>414</v>
      </c>
      <c r="B3" s="91" t="s">
        <v>136</v>
      </c>
      <c r="C3" s="92" t="s">
        <v>151</v>
      </c>
      <c r="D3" s="92" t="s">
        <v>152</v>
      </c>
      <c r="E3" s="93" t="s">
        <v>153</v>
      </c>
      <c r="F3" s="128" t="s">
        <v>154</v>
      </c>
      <c r="G3" s="94"/>
    </row>
    <row r="4" spans="1:7" ht="89.45" customHeight="1">
      <c r="A4" s="187"/>
      <c r="B4" s="91" t="s">
        <v>137</v>
      </c>
      <c r="C4" s="92" t="s">
        <v>155</v>
      </c>
      <c r="D4" s="92" t="s">
        <v>156</v>
      </c>
      <c r="E4" s="93" t="s">
        <v>157</v>
      </c>
      <c r="F4" s="128" t="s">
        <v>158</v>
      </c>
      <c r="G4" s="94"/>
    </row>
    <row r="5" spans="1:7" ht="60">
      <c r="A5" s="187"/>
      <c r="B5" s="91" t="s">
        <v>138</v>
      </c>
      <c r="C5" s="92" t="s">
        <v>160</v>
      </c>
      <c r="D5" s="92" t="s">
        <v>161</v>
      </c>
      <c r="E5" s="93" t="s">
        <v>162</v>
      </c>
      <c r="F5" s="129" t="s">
        <v>163</v>
      </c>
      <c r="G5" s="94"/>
    </row>
    <row r="6" spans="1:7" ht="120">
      <c r="A6" s="187"/>
      <c r="B6" s="91" t="s">
        <v>139</v>
      </c>
      <c r="C6" s="92" t="s">
        <v>164</v>
      </c>
      <c r="D6" s="92" t="s">
        <v>165</v>
      </c>
      <c r="E6" s="93" t="s">
        <v>166</v>
      </c>
      <c r="F6" s="130" t="s">
        <v>167</v>
      </c>
      <c r="G6" s="94"/>
    </row>
    <row r="7" spans="1:7" ht="60">
      <c r="A7" s="187"/>
      <c r="B7" s="91" t="s">
        <v>140</v>
      </c>
      <c r="C7" s="92" t="s">
        <v>168</v>
      </c>
      <c r="D7" s="92" t="s">
        <v>169</v>
      </c>
      <c r="E7" s="93" t="s">
        <v>170</v>
      </c>
      <c r="F7" s="130" t="s">
        <v>171</v>
      </c>
      <c r="G7" s="94"/>
    </row>
    <row r="8" spans="1:7" ht="60">
      <c r="A8" s="187"/>
      <c r="B8" s="91" t="s">
        <v>141</v>
      </c>
      <c r="C8" s="92" t="s">
        <v>172</v>
      </c>
      <c r="D8" s="92" t="s">
        <v>173</v>
      </c>
      <c r="E8" s="93" t="s">
        <v>174</v>
      </c>
      <c r="F8" s="130" t="s">
        <v>175</v>
      </c>
      <c r="G8" s="94"/>
    </row>
    <row r="9" spans="1:7" ht="108">
      <c r="A9" s="187"/>
      <c r="B9" s="91" t="s">
        <v>142</v>
      </c>
      <c r="C9" s="92" t="s">
        <v>176</v>
      </c>
      <c r="D9" s="92" t="s">
        <v>177</v>
      </c>
      <c r="E9" s="93" t="s">
        <v>178</v>
      </c>
      <c r="F9" s="130" t="s">
        <v>179</v>
      </c>
      <c r="G9" s="94"/>
    </row>
    <row r="10" spans="1:7" ht="192">
      <c r="A10" s="187"/>
      <c r="B10" s="91" t="s">
        <v>143</v>
      </c>
      <c r="C10" s="92" t="s">
        <v>180</v>
      </c>
      <c r="D10" s="92" t="s">
        <v>181</v>
      </c>
      <c r="E10" s="93" t="s">
        <v>182</v>
      </c>
      <c r="F10" s="130" t="s">
        <v>183</v>
      </c>
      <c r="G10" s="94"/>
    </row>
    <row r="11" spans="1:7" ht="48">
      <c r="A11" s="187"/>
      <c r="B11" s="91" t="s">
        <v>144</v>
      </c>
      <c r="C11" s="92" t="s">
        <v>184</v>
      </c>
      <c r="D11" s="92" t="s">
        <v>185</v>
      </c>
      <c r="E11" s="93" t="s">
        <v>186</v>
      </c>
      <c r="F11" s="130" t="s">
        <v>187</v>
      </c>
      <c r="G11" s="94"/>
    </row>
    <row r="12" spans="1:7" ht="409.5">
      <c r="A12" s="187"/>
      <c r="B12" s="91" t="s">
        <v>145</v>
      </c>
      <c r="C12" s="92" t="s">
        <v>188</v>
      </c>
      <c r="D12" s="92" t="s">
        <v>189</v>
      </c>
      <c r="E12" s="93" t="s">
        <v>190</v>
      </c>
      <c r="F12" s="96" t="s">
        <v>191</v>
      </c>
      <c r="G12" s="94"/>
    </row>
    <row r="13" spans="1:7" ht="96">
      <c r="A13" s="187"/>
      <c r="B13" s="91" t="s">
        <v>146</v>
      </c>
      <c r="C13" s="92" t="s">
        <v>192</v>
      </c>
      <c r="D13" s="92" t="s">
        <v>193</v>
      </c>
      <c r="E13" s="93" t="s">
        <v>194</v>
      </c>
      <c r="F13" s="130" t="s">
        <v>195</v>
      </c>
      <c r="G13" s="94"/>
    </row>
    <row r="14" spans="1:7" ht="48">
      <c r="A14" s="187"/>
      <c r="B14" s="91" t="s">
        <v>147</v>
      </c>
      <c r="C14" s="92" t="s">
        <v>196</v>
      </c>
      <c r="D14" s="92" t="s">
        <v>197</v>
      </c>
      <c r="E14" s="93" t="s">
        <v>198</v>
      </c>
      <c r="F14" s="130" t="s">
        <v>199</v>
      </c>
      <c r="G14" s="94"/>
    </row>
    <row r="15" spans="1:7" ht="120">
      <c r="A15" s="187"/>
      <c r="B15" s="91" t="s">
        <v>148</v>
      </c>
      <c r="C15" s="92" t="s">
        <v>200</v>
      </c>
      <c r="D15" s="92" t="s">
        <v>201</v>
      </c>
      <c r="E15" s="93" t="s">
        <v>202</v>
      </c>
      <c r="F15" s="130" t="s">
        <v>203</v>
      </c>
      <c r="G15" s="94"/>
    </row>
    <row r="16" spans="1:7" ht="144">
      <c r="A16" s="187"/>
      <c r="B16" s="91" t="s">
        <v>149</v>
      </c>
      <c r="C16" s="92" t="s">
        <v>204</v>
      </c>
      <c r="D16" s="92" t="s">
        <v>205</v>
      </c>
      <c r="E16" s="93" t="s">
        <v>206</v>
      </c>
      <c r="F16" s="130" t="s">
        <v>207</v>
      </c>
      <c r="G16" s="94"/>
    </row>
    <row r="17" spans="1:7" ht="72">
      <c r="A17" s="187"/>
      <c r="B17" s="91" t="s">
        <v>150</v>
      </c>
      <c r="C17" s="92" t="s">
        <v>208</v>
      </c>
      <c r="D17" s="92" t="s">
        <v>209</v>
      </c>
      <c r="E17" s="93" t="s">
        <v>210</v>
      </c>
      <c r="F17" s="130" t="s">
        <v>211</v>
      </c>
      <c r="G17" s="94"/>
    </row>
    <row r="18" spans="1:7" ht="60">
      <c r="A18" s="187" t="s">
        <v>415</v>
      </c>
      <c r="B18" s="91" t="s">
        <v>42</v>
      </c>
      <c r="C18" s="92" t="s">
        <v>214</v>
      </c>
      <c r="D18" s="92" t="s">
        <v>214</v>
      </c>
      <c r="E18" s="93" t="s">
        <v>215</v>
      </c>
      <c r="F18" s="131" t="s">
        <v>216</v>
      </c>
      <c r="G18" s="94"/>
    </row>
    <row r="19" spans="1:7" ht="96">
      <c r="A19" s="187"/>
      <c r="B19" s="91" t="s">
        <v>43</v>
      </c>
      <c r="C19" s="92" t="s">
        <v>217</v>
      </c>
      <c r="D19" s="92" t="s">
        <v>218</v>
      </c>
      <c r="E19" s="93" t="s">
        <v>219</v>
      </c>
      <c r="F19" s="130" t="s">
        <v>220</v>
      </c>
      <c r="G19" s="94"/>
    </row>
    <row r="20" spans="1:7" ht="143.25">
      <c r="A20" s="187"/>
      <c r="B20" s="91" t="s">
        <v>212</v>
      </c>
      <c r="C20" s="92" t="s">
        <v>221</v>
      </c>
      <c r="D20" s="92" t="s">
        <v>222</v>
      </c>
      <c r="E20" s="93" t="s">
        <v>223</v>
      </c>
      <c r="F20" s="131" t="s">
        <v>226</v>
      </c>
      <c r="G20" s="94"/>
    </row>
    <row r="21" spans="1:7" ht="43.5">
      <c r="A21" s="187"/>
      <c r="B21" s="91" t="s">
        <v>213</v>
      </c>
      <c r="C21" s="92" t="s">
        <v>224</v>
      </c>
      <c r="D21" s="92" t="s">
        <v>224</v>
      </c>
      <c r="E21" s="93" t="s">
        <v>225</v>
      </c>
      <c r="F21" s="131" t="s">
        <v>226</v>
      </c>
      <c r="G21" s="94"/>
    </row>
    <row r="22" spans="1:7" ht="208.9" customHeight="1">
      <c r="A22" s="192" t="s">
        <v>416</v>
      </c>
      <c r="B22" s="91" t="s">
        <v>47</v>
      </c>
      <c r="C22" s="92" t="s">
        <v>227</v>
      </c>
      <c r="D22" s="92" t="s">
        <v>227</v>
      </c>
      <c r="E22" s="95" t="s">
        <v>228</v>
      </c>
      <c r="F22" s="130" t="s">
        <v>229</v>
      </c>
      <c r="G22" s="94"/>
    </row>
    <row r="23" spans="1:7" ht="144">
      <c r="A23" s="187"/>
      <c r="B23" s="91" t="s">
        <v>48</v>
      </c>
      <c r="C23" s="92" t="s">
        <v>230</v>
      </c>
      <c r="D23" s="92" t="s">
        <v>230</v>
      </c>
      <c r="E23" s="93" t="s">
        <v>231</v>
      </c>
      <c r="F23" s="130" t="s">
        <v>232</v>
      </c>
      <c r="G23" s="94"/>
    </row>
    <row r="24" spans="1:7" ht="324">
      <c r="A24" s="187" t="s">
        <v>87</v>
      </c>
      <c r="B24" s="91" t="s">
        <v>88</v>
      </c>
      <c r="C24" s="92" t="s">
        <v>234</v>
      </c>
      <c r="D24" s="92" t="s">
        <v>233</v>
      </c>
      <c r="E24" s="132" t="s">
        <v>235</v>
      </c>
      <c r="F24" s="130" t="s">
        <v>236</v>
      </c>
      <c r="G24" s="94"/>
    </row>
    <row r="25" spans="1:7" ht="36">
      <c r="A25" s="187"/>
      <c r="B25" s="91" t="s">
        <v>44</v>
      </c>
      <c r="C25" s="92" t="s">
        <v>237</v>
      </c>
      <c r="D25" s="92" t="s">
        <v>238</v>
      </c>
      <c r="E25" s="93" t="s">
        <v>239</v>
      </c>
      <c r="F25" s="130" t="s">
        <v>236</v>
      </c>
      <c r="G25" s="94"/>
    </row>
    <row r="26" spans="1:7" ht="96">
      <c r="A26" s="187"/>
      <c r="B26" s="91" t="s">
        <v>45</v>
      </c>
      <c r="C26" s="133" t="s">
        <v>240</v>
      </c>
      <c r="D26" s="92" t="s">
        <v>241</v>
      </c>
      <c r="E26" s="93" t="s">
        <v>242</v>
      </c>
      <c r="F26" s="130" t="s">
        <v>243</v>
      </c>
      <c r="G26" s="94"/>
    </row>
    <row r="27" spans="1:7" ht="108">
      <c r="A27" s="187"/>
      <c r="B27" s="91" t="s">
        <v>46</v>
      </c>
      <c r="C27" s="92" t="s">
        <v>244</v>
      </c>
      <c r="D27" s="92" t="s">
        <v>244</v>
      </c>
      <c r="E27" s="93" t="s">
        <v>245</v>
      </c>
      <c r="F27" s="130" t="s">
        <v>246</v>
      </c>
      <c r="G27" s="94"/>
    </row>
    <row r="28" spans="1:7" ht="126.6" customHeight="1">
      <c r="A28" s="187" t="s">
        <v>89</v>
      </c>
      <c r="B28" s="91" t="s">
        <v>78</v>
      </c>
      <c r="C28" s="92" t="s">
        <v>247</v>
      </c>
      <c r="D28" s="92" t="s">
        <v>247</v>
      </c>
      <c r="E28" s="93" t="s">
        <v>248</v>
      </c>
      <c r="F28" s="130" t="s">
        <v>249</v>
      </c>
      <c r="G28" s="94"/>
    </row>
    <row r="29" spans="1:7" ht="84">
      <c r="A29" s="187"/>
      <c r="B29" s="91" t="s">
        <v>66</v>
      </c>
      <c r="C29" s="92" t="s">
        <v>250</v>
      </c>
      <c r="D29" s="92" t="s">
        <v>251</v>
      </c>
      <c r="E29" s="93" t="s">
        <v>252</v>
      </c>
      <c r="F29" s="130" t="s">
        <v>253</v>
      </c>
      <c r="G29" s="94"/>
    </row>
    <row r="30" spans="1:7" ht="36">
      <c r="A30" s="187"/>
      <c r="B30" s="91" t="s">
        <v>90</v>
      </c>
      <c r="C30" s="92" t="s">
        <v>254</v>
      </c>
      <c r="D30" s="92" t="s">
        <v>255</v>
      </c>
      <c r="E30" s="93" t="s">
        <v>256</v>
      </c>
      <c r="F30" s="131" t="s">
        <v>92</v>
      </c>
      <c r="G30" s="94"/>
    </row>
    <row r="31" spans="1:7" ht="24">
      <c r="A31" s="187"/>
      <c r="B31" s="91" t="s">
        <v>67</v>
      </c>
      <c r="C31" s="133" t="s">
        <v>257</v>
      </c>
      <c r="D31" s="92" t="s">
        <v>258</v>
      </c>
      <c r="E31" s="93" t="s">
        <v>259</v>
      </c>
      <c r="F31" s="130" t="s">
        <v>260</v>
      </c>
      <c r="G31" s="94"/>
    </row>
    <row r="32" spans="1:7" ht="120">
      <c r="A32" s="187"/>
      <c r="B32" s="91" t="s">
        <v>65</v>
      </c>
      <c r="C32" s="92" t="s">
        <v>261</v>
      </c>
      <c r="D32" s="92" t="s">
        <v>261</v>
      </c>
      <c r="E32" s="93" t="s">
        <v>262</v>
      </c>
      <c r="F32" s="130" t="s">
        <v>263</v>
      </c>
      <c r="G32" s="94"/>
    </row>
    <row r="33" spans="1:7" ht="48">
      <c r="A33" s="187"/>
      <c r="B33" s="91" t="s">
        <v>93</v>
      </c>
      <c r="C33" s="92" t="s">
        <v>264</v>
      </c>
      <c r="D33" s="92" t="s">
        <v>264</v>
      </c>
      <c r="E33" s="93" t="s">
        <v>265</v>
      </c>
      <c r="F33" s="131" t="s">
        <v>266</v>
      </c>
      <c r="G33" s="94"/>
    </row>
    <row r="34" spans="1:7" ht="88.9" customHeight="1">
      <c r="A34" s="187"/>
      <c r="B34" s="91" t="s">
        <v>94</v>
      </c>
      <c r="C34" s="92" t="s">
        <v>268</v>
      </c>
      <c r="D34" s="92" t="s">
        <v>267</v>
      </c>
      <c r="E34" s="93" t="s">
        <v>269</v>
      </c>
      <c r="F34" s="130" t="s">
        <v>270</v>
      </c>
      <c r="G34" s="94"/>
    </row>
    <row r="35" spans="1:7" ht="24">
      <c r="A35" s="187"/>
      <c r="B35" s="91" t="s">
        <v>58</v>
      </c>
      <c r="C35" s="133" t="s">
        <v>272</v>
      </c>
      <c r="D35" s="92" t="s">
        <v>271</v>
      </c>
      <c r="E35" s="93" t="s">
        <v>273</v>
      </c>
      <c r="F35" s="131" t="s">
        <v>274</v>
      </c>
      <c r="G35" s="94"/>
    </row>
    <row r="36" spans="1:7" ht="60">
      <c r="A36" s="187"/>
      <c r="B36" s="91" t="s">
        <v>95</v>
      </c>
      <c r="C36" s="133" t="s">
        <v>275</v>
      </c>
      <c r="D36" s="133" t="s">
        <v>275</v>
      </c>
      <c r="E36" s="93" t="s">
        <v>276</v>
      </c>
      <c r="F36" s="130" t="s">
        <v>277</v>
      </c>
      <c r="G36" s="94"/>
    </row>
    <row r="37" spans="1:7" ht="60">
      <c r="A37" s="187"/>
      <c r="B37" s="91" t="s">
        <v>56</v>
      </c>
      <c r="C37" s="133" t="s">
        <v>91</v>
      </c>
      <c r="D37" s="92" t="s">
        <v>278</v>
      </c>
      <c r="E37" s="93" t="s">
        <v>279</v>
      </c>
      <c r="F37" s="130" t="s">
        <v>280</v>
      </c>
      <c r="G37" s="94"/>
    </row>
    <row r="38" spans="1:7" ht="24">
      <c r="A38" s="187"/>
      <c r="B38" s="91" t="s">
        <v>96</v>
      </c>
      <c r="C38" s="133" t="s">
        <v>282</v>
      </c>
      <c r="D38" s="92" t="s">
        <v>281</v>
      </c>
      <c r="E38" s="93" t="s">
        <v>283</v>
      </c>
      <c r="F38" s="130" t="s">
        <v>284</v>
      </c>
      <c r="G38" s="94"/>
    </row>
    <row r="39" spans="1:7" ht="399">
      <c r="A39" s="187"/>
      <c r="B39" s="91" t="s">
        <v>97</v>
      </c>
      <c r="C39" s="92" t="s">
        <v>285</v>
      </c>
      <c r="D39" s="92" t="s">
        <v>286</v>
      </c>
      <c r="E39" s="93" t="s">
        <v>287</v>
      </c>
      <c r="F39" s="130" t="s">
        <v>288</v>
      </c>
      <c r="G39" s="94"/>
    </row>
    <row r="40" spans="1:7" ht="24">
      <c r="A40" s="187" t="s">
        <v>98</v>
      </c>
      <c r="B40" s="91" t="s">
        <v>70</v>
      </c>
      <c r="C40" s="133" t="s">
        <v>290</v>
      </c>
      <c r="D40" s="92" t="s">
        <v>289</v>
      </c>
      <c r="E40" s="93" t="s">
        <v>291</v>
      </c>
      <c r="F40" s="130" t="s">
        <v>292</v>
      </c>
      <c r="G40" s="94"/>
    </row>
    <row r="41" spans="1:7" ht="36">
      <c r="A41" s="187"/>
      <c r="B41" s="91" t="s">
        <v>75</v>
      </c>
      <c r="C41" s="133" t="s">
        <v>294</v>
      </c>
      <c r="D41" s="92" t="s">
        <v>293</v>
      </c>
      <c r="E41" s="93" t="s">
        <v>295</v>
      </c>
      <c r="F41" s="134" t="s">
        <v>296</v>
      </c>
      <c r="G41" s="97"/>
    </row>
    <row r="42" spans="1:7" ht="60.75" thickBot="1">
      <c r="A42" s="188"/>
      <c r="B42" s="123" t="s">
        <v>76</v>
      </c>
      <c r="C42" s="135" t="s">
        <v>298</v>
      </c>
      <c r="D42" s="136" t="s">
        <v>297</v>
      </c>
      <c r="E42" s="98" t="s">
        <v>299</v>
      </c>
      <c r="F42" s="124" t="s">
        <v>300</v>
      </c>
      <c r="G42" s="137"/>
    </row>
  </sheetData>
  <mergeCells count="7">
    <mergeCell ref="A28:A39"/>
    <mergeCell ref="A40:A42"/>
    <mergeCell ref="A24:A27"/>
    <mergeCell ref="A1:G1"/>
    <mergeCell ref="A3:A17"/>
    <mergeCell ref="A18:A21"/>
    <mergeCell ref="A22:A23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Main</vt:lpstr>
      <vt:lpstr>제안일정</vt:lpstr>
      <vt:lpstr>제안 목차</vt:lpstr>
      <vt:lpstr>RFP 요구사항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ihjo</dc:creator>
  <cp:lastModifiedBy>나인소프트 컨설팅</cp:lastModifiedBy>
  <dcterms:created xsi:type="dcterms:W3CDTF">2015-06-05T18:19:34Z</dcterms:created>
  <dcterms:modified xsi:type="dcterms:W3CDTF">2026-04-04T02:13:18Z</dcterms:modified>
</cp:coreProperties>
</file>